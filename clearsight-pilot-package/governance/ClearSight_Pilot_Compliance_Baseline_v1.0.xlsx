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ontrols" sheetId="2" state="visible" r:id="rId4"/>
    <sheet name="Evidence" sheetId="3" state="visible" r:id="rId5"/>
    <sheet name="Audit Calendar" sheetId="4" state="visible" r:id="rId6"/>
    <sheet name="Gap Analys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<sst xmlns="http://schemas.openxmlformats.org/spreadsheetml/2006/main" count="640" uniqueCount="381">
  <si>
    <t xml:space="preserve">ClearSight Dental  —  Pilot Compliance Baseline</t>
  </si>
  <si>
    <t xml:space="preserve">HIPAA Pilot Controls  •  Phase 1.5 Hosted Beta  •  v1.0  •  April 2026</t>
  </si>
  <si>
    <t xml:space="preserve">Status summary</t>
  </si>
  <si>
    <t xml:space="preserve">Legend</t>
  </si>
  <si>
    <t xml:space="preserve">Controls total</t>
  </si>
  <si>
    <t xml:space="preserve">Complete</t>
  </si>
  <si>
    <t xml:space="preserve">Controls complete</t>
  </si>
  <si>
    <t xml:space="preserve">In progress</t>
  </si>
  <si>
    <t xml:space="preserve">Controls in progress</t>
  </si>
  <si>
    <t xml:space="preserve">Not started</t>
  </si>
  <si>
    <t xml:space="preserve">Controls not started</t>
  </si>
  <si>
    <t xml:space="preserve">N/A</t>
  </si>
  <si>
    <t xml:space="preserve">% complete</t>
  </si>
  <si>
    <t xml:space="preserve">Pilot-gating controls outstanding</t>
  </si>
  <si>
    <t xml:space="preserve">How to use this workbook</t>
  </si>
  <si>
    <t xml:space="preserve">• The Controls sheet is the source of truth. Update Status column G as work progresses.</t>
  </si>
  <si>
    <t xml:space="preserve">• Controls marked "Blocker" must be Complete before the pilot URL is shared with Dr. Basher.</t>
  </si>
  <si>
    <t xml:space="preserve">• The Evidence sheet tracks where each control’s supporting artifact lives (runbook section, screenshot, policy doc).</t>
  </si>
  <si>
    <t xml:space="preserve">• The Audit Calendar sheet is the action list for the next 180 days.</t>
  </si>
  <si>
    <t xml:space="preserve">• This workbook is refreshed at every monthly compliance review; the owner is Dale (founder) until a Head of Security is hired.</t>
  </si>
  <si>
    <t xml:space="preserve">Control ID</t>
  </si>
  <si>
    <t xml:space="preserve">Framework</t>
  </si>
  <si>
    <t xml:space="preserve">Requirement</t>
  </si>
  <si>
    <t xml:space="preserve">Description</t>
  </si>
  <si>
    <t xml:space="preserve">Owner</t>
  </si>
  <si>
    <t xml:space="preserve">Priority</t>
  </si>
  <si>
    <t xml:space="preserve">Status</t>
  </si>
  <si>
    <t xml:space="preserve">Target date</t>
  </si>
  <si>
    <t xml:space="preserve">Evidence ref</t>
  </si>
  <si>
    <t xml:space="preserve">Notes</t>
  </si>
  <si>
    <t xml:space="preserve">CS-A-01</t>
  </si>
  <si>
    <t xml:space="preserve">HIPAA §164.308(a)(1)</t>
  </si>
  <si>
    <t xml:space="preserve">Security Management Process</t>
  </si>
  <si>
    <t xml:space="preserve">Document and maintain a written HIPAA security risk analysis covering the hosted pilot scope.</t>
  </si>
  <si>
    <t xml:space="preserve">Dale</t>
  </si>
  <si>
    <t xml:space="preserve">Blocker</t>
  </si>
  <si>
    <t xml:space="preserve">2026-04-30</t>
  </si>
  <si>
    <t xml:space="preserve">EV-01</t>
  </si>
  <si>
    <t xml:space="preserve">Use NIST SP 800-30 template; scope is hosted-backend + frontend + Postgres.</t>
  </si>
  <si>
    <t xml:space="preserve">CS-A-02</t>
  </si>
  <si>
    <t xml:space="preserve">HIPAA §164.308(a)(2)</t>
  </si>
  <si>
    <t xml:space="preserve">Assigned Security Responsibility</t>
  </si>
  <si>
    <t xml:space="preserve">Designate a Security Official accountable for HIPAA compliance.</t>
  </si>
  <si>
    <t xml:space="preserve">2026-04-20</t>
  </si>
  <si>
    <t xml:space="preserve">EV-02</t>
  </si>
  <si>
    <t xml:space="preserve">Dale serves as interim Security Official until hire. Document in company policy.</t>
  </si>
  <si>
    <t xml:space="preserve">CS-A-03</t>
  </si>
  <si>
    <t xml:space="preserve">HIPAA §164.308(a)(3)</t>
  </si>
  <si>
    <t xml:space="preserve">Workforce Security</t>
  </si>
  <si>
    <t xml:space="preserve">Role-based access policy; authorize workforce members before granting PHI access.</t>
  </si>
  <si>
    <t xml:space="preserve">2026-04-25</t>
  </si>
  <si>
    <t xml:space="preserve">EV-03</t>
  </si>
  <si>
    <t xml:space="preserve">Only Dale + 1 engineer with PHI access at pilot launch.</t>
  </si>
  <si>
    <t xml:space="preserve">CS-A-04</t>
  </si>
  <si>
    <t xml:space="preserve">HIPAA §164.308(a)(5)</t>
  </si>
  <si>
    <t xml:space="preserve">Security Awareness &amp; Training</t>
  </si>
  <si>
    <t xml:space="preserve">HIPAA security awareness training for all workforce with PHI access, completed before launch.</t>
  </si>
  <si>
    <t xml:space="preserve">EV-04</t>
  </si>
  <si>
    <t xml:space="preserve">Use free HHS training modules or a paid provider (e.g., Accountable, Compliancy Group).</t>
  </si>
  <si>
    <t xml:space="preserve">CS-A-05</t>
  </si>
  <si>
    <t xml:space="preserve">HIPAA §164.308(a)(6)</t>
  </si>
  <si>
    <t xml:space="preserve">Security Incident Procedures</t>
  </si>
  <si>
    <t xml:space="preserve">Written incident response plan including breach classification and notification workflow.</t>
  </si>
  <si>
    <t xml:space="preserve">2026-04-28</t>
  </si>
  <si>
    <t xml:space="preserve">EV-05</t>
  </si>
  <si>
    <t xml:space="preserve">Runbook §Escalation covers the operational steps; formal policy still needed.</t>
  </si>
  <si>
    <t xml:space="preserve">CS-A-06</t>
  </si>
  <si>
    <t xml:space="preserve">HIPAA §164.308(a)(7)</t>
  </si>
  <si>
    <t xml:space="preserve">Contingency Plan</t>
  </si>
  <si>
    <t xml:space="preserve">Data backup plan, disaster recovery plan, emergency mode operation plan.</t>
  </si>
  <si>
    <t xml:space="preserve">High</t>
  </si>
  <si>
    <t xml:space="preserve">2026-05-15</t>
  </si>
  <si>
    <t xml:space="preserve">EV-06</t>
  </si>
  <si>
    <t xml:space="preserve">Neon Postgres has point-in-time recovery; document RPO/RTO targets (&lt;24h/&lt;4h).</t>
  </si>
  <si>
    <t xml:space="preserve">CS-A-07</t>
  </si>
  <si>
    <t xml:space="preserve">HIPAA §164.308(a)(8)</t>
  </si>
  <si>
    <t xml:space="preserve">Evaluation</t>
  </si>
  <si>
    <t xml:space="preserve">Periodic technical and non-technical evaluation against HIPAA standards.</t>
  </si>
  <si>
    <t xml:space="preserve">Medium</t>
  </si>
  <si>
    <t xml:space="preserve">2026-07-01</t>
  </si>
  <si>
    <t xml:space="preserve">EV-07</t>
  </si>
  <si>
    <t xml:space="preserve">Quarterly cadence; first review 90 days after pilot launch.</t>
  </si>
  <si>
    <t xml:space="preserve">CS-A-08</t>
  </si>
  <si>
    <t xml:space="preserve">HIPAA §164.308(b)</t>
  </si>
  <si>
    <t xml:space="preserve">Business Associate Contracts</t>
  </si>
  <si>
    <t xml:space="preserve">Signed BAAs with all subprocessors that touch PHI (Vercel, Fly.io, Neon, Resend, HF CDN).</t>
  </si>
  <si>
    <t xml:space="preserve">EV-08</t>
  </si>
  <si>
    <t xml:space="preserve">Vercel Pro, Fly.io, Neon offer BAAs on request; confirm Resend HIPAA tier.</t>
  </si>
  <si>
    <t xml:space="preserve">CS-P-01</t>
  </si>
  <si>
    <t xml:space="preserve">HIPAA §164.310(a)</t>
  </si>
  <si>
    <t xml:space="preserve">Facility Access Controls</t>
  </si>
  <si>
    <t xml:space="preserve">Physical access to systems processing PHI is restricted; inherited from cloud providers.</t>
  </si>
  <si>
    <t xml:space="preserve">EV-09</t>
  </si>
  <si>
    <t xml:space="preserve">Document reliance on AWS/GCP physical controls (via Fly.io and Neon hosting providers).</t>
  </si>
  <si>
    <t xml:space="preserve">CS-P-02</t>
  </si>
  <si>
    <t xml:space="preserve">HIPAA §164.310(c)</t>
  </si>
  <si>
    <t xml:space="preserve">Workstation Security</t>
  </si>
  <si>
    <t xml:space="preserve">Workforce workstations with access to PHI are secured: FileVault, auto-lock, screen timeout.</t>
  </si>
  <si>
    <t xml:space="preserve">EV-10</t>
  </si>
  <si>
    <t xml:space="preserve">FileVault already enabled on Dale laptop; verify + document.</t>
  </si>
  <si>
    <t xml:space="preserve">CS-P-03</t>
  </si>
  <si>
    <t xml:space="preserve">HIPAA §164.310(d)</t>
  </si>
  <si>
    <t xml:space="preserve">Device and Media Controls</t>
  </si>
  <si>
    <t xml:space="preserve">Procedures for disposal and re-use of media containing ePHI.</t>
  </si>
  <si>
    <t xml:space="preserve">EV-11</t>
  </si>
  <si>
    <t xml:space="preserve">Low exposure at pilot scale; document anyway for audit readiness.</t>
  </si>
  <si>
    <t xml:space="preserve">CS-T-01</t>
  </si>
  <si>
    <t xml:space="preserve">HIPAA §164.312(a)(1)</t>
  </si>
  <si>
    <t xml:space="preserve">Access Control — Unique User ID</t>
  </si>
  <si>
    <t xml:space="preserve">Unique user identification for each workforce member and each practice user.</t>
  </si>
  <si>
    <t xml:space="preserve">Engineering</t>
  </si>
  <si>
    <t xml:space="preserve">EV-12</t>
  </si>
  <si>
    <t xml:space="preserve">Implemented via Postgres users table + magic-link auth; one row per user.</t>
  </si>
  <si>
    <t xml:space="preserve">CS-T-02</t>
  </si>
  <si>
    <t xml:space="preserve">HIPAA §164.312(a)(2)(iii)</t>
  </si>
  <si>
    <t xml:space="preserve">Automatic Logoff</t>
  </si>
  <si>
    <t xml:space="preserve">Sessions expire after inactivity.</t>
  </si>
  <si>
    <t xml:space="preserve">EV-13</t>
  </si>
  <si>
    <t xml:space="preserve">15-minute idle timeout default; refresh with magic-link re-auth.</t>
  </si>
  <si>
    <t xml:space="preserve">CS-T-03</t>
  </si>
  <si>
    <t xml:space="preserve">HIPAA §164.312(a)(2)(iv)</t>
  </si>
  <si>
    <t xml:space="preserve">Encryption and Decryption (at rest)</t>
  </si>
  <si>
    <t xml:space="preserve">AES-256 encryption at rest for all PHI stores.</t>
  </si>
  <si>
    <t xml:space="preserve">EV-14</t>
  </si>
  <si>
    <t xml:space="preserve">Neon Postgres encrypts at rest by default; Fly.io volumes encrypted; Vercel KV encrypted.</t>
  </si>
  <si>
    <t xml:space="preserve">CS-T-04</t>
  </si>
  <si>
    <t xml:space="preserve">HIPAA §164.312(b)</t>
  </si>
  <si>
    <t xml:space="preserve">Audit Controls</t>
  </si>
  <si>
    <t xml:space="preserve">Hardware, software, and/or procedural mechanisms that record and examine activity in systems containing ePHI.</t>
  </si>
  <si>
    <t xml:space="preserve">EV-15</t>
  </si>
  <si>
    <t xml:space="preserve">audit_log table wired into every inference call; 6-year retention.</t>
  </si>
  <si>
    <t xml:space="preserve">CS-T-05</t>
  </si>
  <si>
    <t xml:space="preserve">HIPAA §164.312(c)(1)</t>
  </si>
  <si>
    <t xml:space="preserve">Integrity Controls</t>
  </si>
  <si>
    <t xml:space="preserve">Mechanisms to ensure PHI is not improperly altered or destroyed.</t>
  </si>
  <si>
    <t xml:space="preserve">EV-16</t>
  </si>
  <si>
    <t xml:space="preserve">Postgres append-only audit_log; SHA-256 on every image on ingest.</t>
  </si>
  <si>
    <t xml:space="preserve">CS-T-06</t>
  </si>
  <si>
    <t xml:space="preserve">HIPAA §164.312(d)</t>
  </si>
  <si>
    <t xml:space="preserve">Person or Entity Authentication</t>
  </si>
  <si>
    <t xml:space="preserve">Procedures to verify that a person or entity seeking access is the one claimed.</t>
  </si>
  <si>
    <t xml:space="preserve">EV-17</t>
  </si>
  <si>
    <t xml:space="preserve">Magic-link auth with Resend; allowlist of authorized emails.</t>
  </si>
  <si>
    <t xml:space="preserve">CS-T-07</t>
  </si>
  <si>
    <t xml:space="preserve">HIPAA §164.312(e)(1)</t>
  </si>
  <si>
    <t xml:space="preserve">Transmission Security (in transit)</t>
  </si>
  <si>
    <t xml:space="preserve">TLS 1.2+ for all PHI in transit, including between Vercel and Fly.io backend.</t>
  </si>
  <si>
    <t xml:space="preserve">EV-18</t>
  </si>
  <si>
    <t xml:space="preserve">Vercel enforces TLS 1.3; Fly.io enforces TLS 1.3; verify with SSL Labs scan.</t>
  </si>
  <si>
    <t xml:space="preserve">CS-B-01</t>
  </si>
  <si>
    <t xml:space="preserve">HIPAA §164.404-408</t>
  </si>
  <si>
    <t xml:space="preserve">Breach Notification</t>
  </si>
  <si>
    <t xml:space="preserve">Written breach notification procedure aligned to BAA §3(3)–(4) and HIPAA Breach Notification Rule.</t>
  </si>
  <si>
    <t xml:space="preserve">EV-19</t>
  </si>
  <si>
    <t xml:space="preserve">Policy + template notification letters; cyber-liability carrier gets first call.</t>
  </si>
  <si>
    <t xml:space="preserve">CS-O-01</t>
  </si>
  <si>
    <t xml:space="preserve">HIPAA §164.314</t>
  </si>
  <si>
    <t xml:space="preserve">Organizational Requirements</t>
  </si>
  <si>
    <t xml:space="preserve">BAA in place before any PHI leaves the practice. Policies and procedures documented.</t>
  </si>
  <si>
    <t xml:space="preserve">EV-20</t>
  </si>
  <si>
    <t xml:space="preserve">BAA v1.0 drafted; needs counsel review and countersignature.</t>
  </si>
  <si>
    <t xml:space="preserve">CS-O-02</t>
  </si>
  <si>
    <t xml:space="preserve">Internal</t>
  </si>
  <si>
    <t xml:space="preserve">Cyber-liability insurance</t>
  </si>
  <si>
    <t xml:space="preserve">Cyber-liability policy bound at $5M/$5M per Clinical Pilot Agreement §12.</t>
  </si>
  <si>
    <t xml:space="preserve">EV-21</t>
  </si>
  <si>
    <t xml:space="preserve">Quote from Coalition, At-Bay, or Cowbell; confirm HIPAA coverage explicit.</t>
  </si>
  <si>
    <t xml:space="preserve">CS-O-03</t>
  </si>
  <si>
    <t xml:space="preserve">Acceptable Use Policy (internal)</t>
  </si>
  <si>
    <t xml:space="preserve">Workforce AUP covering BYOD, password hygiene, and PHI handling.</t>
  </si>
  <si>
    <t xml:space="preserve">EV-22</t>
  </si>
  <si>
    <t xml:space="preserve">One-page policy; Dale signs first, future hires sign on Day 1.</t>
  </si>
  <si>
    <t xml:space="preserve">CS-S-01</t>
  </si>
  <si>
    <t xml:space="preserve">State (Governing Law)</t>
  </si>
  <si>
    <t xml:space="preserve">State medical-records law compliance</t>
  </si>
  <si>
    <t xml:space="preserve">Confirm state-level patient records requirements for the governing-law state in CPA §13.</t>
  </si>
  <si>
    <t xml:space="preserve">Counsel</t>
  </si>
  <si>
    <t xml:space="preserve">2026-05-01</t>
  </si>
  <si>
    <t xml:space="preserve">EV-23</t>
  </si>
  <si>
    <t xml:space="preserve">Most states track HIPAA; CA, TX, NY have additional state rules (CMIA, HB 300, SHIELD).</t>
  </si>
  <si>
    <t xml:space="preserve">CS-F-01</t>
  </si>
  <si>
    <t xml:space="preserve">SOC 2 Type I</t>
  </si>
  <si>
    <t xml:space="preserve">SOC 2 Type I readiness assessment</t>
  </si>
  <si>
    <t xml:space="preserve">Engage auditor for SOC 2 Type I readiness assessment within 12 months.</t>
  </si>
  <si>
    <t xml:space="preserve">Low</t>
  </si>
  <si>
    <t xml:space="preserve">2026-12-31</t>
  </si>
  <si>
    <t xml:space="preserve">EV-24</t>
  </si>
  <si>
    <t xml:space="preserve">Prerequisite for DSO contracts; Drata/Vanta/Secureframe as automation partner.</t>
  </si>
  <si>
    <t xml:space="preserve">CS-F-02</t>
  </si>
  <si>
    <t xml:space="preserve">SOC 2 Type II</t>
  </si>
  <si>
    <t xml:space="preserve">SOC 2 Type II audit</t>
  </si>
  <si>
    <t xml:space="preserve">Complete SOC 2 Type II audit (12-month observation window) within 18 months.</t>
  </si>
  <si>
    <t xml:space="preserve">2027-10-31</t>
  </si>
  <si>
    <t xml:space="preserve">EV-25</t>
  </si>
  <si>
    <t xml:space="preserve">Enterprise/DSO gating milestone; see Hosted Service Addendum §15.4.</t>
  </si>
  <si>
    <t xml:space="preserve">Evidence ID</t>
  </si>
  <si>
    <t xml:space="preserve">Control ref</t>
  </si>
  <si>
    <t xml:space="preserve">Type</t>
  </si>
  <si>
    <t xml:space="preserve">Location</t>
  </si>
  <si>
    <t xml:space="preserve">Collected by</t>
  </si>
  <si>
    <t xml:space="preserve">Date collected</t>
  </si>
  <si>
    <t xml:space="preserve">Next refresh</t>
  </si>
  <si>
    <t xml:space="preserve">Risk analysis document</t>
  </si>
  <si>
    <t xml:space="preserve">/OpenRestaurant/compliance/hipaa-risk-analysis.docx</t>
  </si>
  <si>
    <t xml:space="preserve">2027-04-01</t>
  </si>
  <si>
    <t xml:space="preserve">Annual refresh.</t>
  </si>
  <si>
    <t xml:space="preserve">Appointment memo</t>
  </si>
  <si>
    <t xml:space="preserve">/OpenRestaurant/compliance/security-official-appointment.docx</t>
  </si>
  <si>
    <t xml:space="preserve">On change</t>
  </si>
  <si>
    <t xml:space="preserve">Re-execute on any change of officer.</t>
  </si>
  <si>
    <t xml:space="preserve">Access roster</t>
  </si>
  <si>
    <t xml:space="preserve">Controls sheet + Postgres users table</t>
  </si>
  <si>
    <t xml:space="preserve">Monthly</t>
  </si>
  <si>
    <t xml:space="preserve">Reconcile monthly with Postgres.</t>
  </si>
  <si>
    <t xml:space="preserve">Training certificates</t>
  </si>
  <si>
    <t xml:space="preserve">/OpenRestaurant/compliance/training/</t>
  </si>
  <si>
    <t xml:space="preserve">Annually</t>
  </si>
  <si>
    <t xml:space="preserve">One PDF per workforce member.</t>
  </si>
  <si>
    <t xml:space="preserve">Incident response plan</t>
  </si>
  <si>
    <t xml:space="preserve">/OpenRestaurant/compliance/irp.docx</t>
  </si>
  <si>
    <t xml:space="preserve">Annual tabletop exercise; document results.</t>
  </si>
  <si>
    <t xml:space="preserve">Contingency plan + backup test report</t>
  </si>
  <si>
    <t xml:space="preserve">/OpenRestaurant/compliance/contingency-plan.docx</t>
  </si>
  <si>
    <t xml:space="preserve">Semi-annual</t>
  </si>
  <si>
    <t xml:space="preserve">Neon PITR test every 6 months.</t>
  </si>
  <si>
    <t xml:space="preserve">Quarterly evaluation report</t>
  </si>
  <si>
    <t xml:space="preserve">/OpenRestaurant/compliance/evaluations/</t>
  </si>
  <si>
    <t xml:space="preserve">Quarterly</t>
  </si>
  <si>
    <t xml:space="preserve">First report due 90 days after launch.</t>
  </si>
  <si>
    <t xml:space="preserve">Countersigned BAAs</t>
  </si>
  <si>
    <t xml:space="preserve">/OpenRestaurant/compliance/baas/</t>
  </si>
  <si>
    <t xml:space="preserve">On renewal</t>
  </si>
  <si>
    <t xml:space="preserve">One file per subprocessor.</t>
  </si>
  <si>
    <t xml:space="preserve">Facility controls documentation</t>
  </si>
  <si>
    <t xml:space="preserve">/OpenRestaurant/compliance/facility-controls.md</t>
  </si>
  <si>
    <t xml:space="preserve">Inherited control; document provider references.</t>
  </si>
  <si>
    <t xml:space="preserve">Workstation security attestation</t>
  </si>
  <si>
    <t xml:space="preserve">/OpenRestaurant/compliance/workstation-attestation.docx</t>
  </si>
  <si>
    <t xml:space="preserve">Signed attestation per workforce member.</t>
  </si>
  <si>
    <t xml:space="preserve">Media disposal log</t>
  </si>
  <si>
    <t xml:space="preserve">/OpenRestaurant/compliance/media-disposal.xlsx</t>
  </si>
  <si>
    <t xml:space="preserve">On event</t>
  </si>
  <si>
    <t xml:space="preserve">Log each disposal event.</t>
  </si>
  <si>
    <t xml:space="preserve">Auth config screenshot + schema</t>
  </si>
  <si>
    <t xml:space="preserve">backend/app/schema.sql + screenshot</t>
  </si>
  <si>
    <t xml:space="preserve">Commit schema to git; screenshot during audit prep.</t>
  </si>
  <si>
    <t xml:space="preserve">Session timeout config</t>
  </si>
  <si>
    <t xml:space="preserve">frontend/auth config</t>
  </si>
  <si>
    <t xml:space="preserve">Code reference + operational test.</t>
  </si>
  <si>
    <t xml:space="preserve">Encryption-at-rest attestation</t>
  </si>
  <si>
    <t xml:space="preserve">Neon + Fly.io BAAs + screenshots</t>
  </si>
  <si>
    <t xml:space="preserve">Provider-issued attestation.</t>
  </si>
  <si>
    <t xml:space="preserve">Audit log schema + sample query</t>
  </si>
  <si>
    <t xml:space="preserve">backend/app/schema.sql + sample SELECT output</t>
  </si>
  <si>
    <t xml:space="preserve">Retention = 2190 days (6 years).</t>
  </si>
  <si>
    <t xml:space="preserve">Integrity control code + tests</t>
  </si>
  <si>
    <t xml:space="preserve">backend/app/audit.py + test suite</t>
  </si>
  <si>
    <t xml:space="preserve">SHA-256 of every ingested image.</t>
  </si>
  <si>
    <t xml:space="preserve">Auth flow documentation</t>
  </si>
  <si>
    <t xml:space="preserve">docs/auth.md + runbook Step 7</t>
  </si>
  <si>
    <t xml:space="preserve">Magic-link flow diagram.</t>
  </si>
  <si>
    <t xml:space="preserve">SSL Labs scan report</t>
  </si>
  <si>
    <t xml:space="preserve">screenshot + URL snapshot</t>
  </si>
  <si>
    <t xml:space="preserve">Target A+ rating.</t>
  </si>
  <si>
    <t xml:space="preserve">Breach notification policy + templates</t>
  </si>
  <si>
    <t xml:space="preserve">/OpenRestaurant/compliance/breach-notification.docx</t>
  </si>
  <si>
    <t xml:space="preserve">Template letters for individuals, Secretary, media.</t>
  </si>
  <si>
    <t xml:space="preserve">Countersigned pilot BAA</t>
  </si>
  <si>
    <t xml:space="preserve">/OpenRestaurant/compliance/baas/dia-basher-dds.pdf</t>
  </si>
  <si>
    <t xml:space="preserve">File before first pilot sign-in.</t>
  </si>
  <si>
    <t xml:space="preserve">Cyber-liability certificate of insurance</t>
  </si>
  <si>
    <t xml:space="preserve">/OpenRestaurant/compliance/coi-cyber.pdf</t>
  </si>
  <si>
    <t xml:space="preserve">Confirm HIPAA coverage explicit in declarations.</t>
  </si>
  <si>
    <t xml:space="preserve">Acceptable Use Policy (signed)</t>
  </si>
  <si>
    <t xml:space="preserve">/OpenRestaurant/compliance/aup.docx</t>
  </si>
  <si>
    <t xml:space="preserve">On hire + annually</t>
  </si>
  <si>
    <t xml:space="preserve">One signed copy per workforce member.</t>
  </si>
  <si>
    <t xml:space="preserve">Counsel memo on state requirements</t>
  </si>
  <si>
    <t xml:space="preserve">/OpenRestaurant/compliance/state-law-memo.pdf</t>
  </si>
  <si>
    <t xml:space="preserve">On state change</t>
  </si>
  <si>
    <t xml:space="preserve">Re-run when adding a new state to the pilot.</t>
  </si>
  <si>
    <t xml:space="preserve">SOC 2 Type I readiness report</t>
  </si>
  <si>
    <t xml:space="preserve">/OpenRestaurant/compliance/soc2/readiness.pdf</t>
  </si>
  <si>
    <t xml:space="preserve">Once</t>
  </si>
  <si>
    <t xml:space="preserve">Engagement letter from chosen auditor.</t>
  </si>
  <si>
    <t xml:space="preserve">SOC 2 Type II audit report</t>
  </si>
  <si>
    <t xml:space="preserve">/OpenRestaurant/compliance/soc2/type2-report.pdf</t>
  </si>
  <si>
    <t xml:space="preserve">Keep latest 3 years on file.</t>
  </si>
  <si>
    <t xml:space="preserve">Date</t>
  </si>
  <si>
    <t xml:space="preserve">Activity</t>
  </si>
  <si>
    <t xml:space="preserve">Related controls</t>
  </si>
  <si>
    <t xml:space="preserve">Counsel sign-off on BAA v1.0 and Clinical Pilot Agreement v1.0</t>
  </si>
  <si>
    <t xml:space="preserve">CS-A-08, CS-O-01</t>
  </si>
  <si>
    <t xml:space="preserve">Hard blocker for pilot launch.</t>
  </si>
  <si>
    <t xml:space="preserve">Appoint Security Official (Dale, interim)</t>
  </si>
  <si>
    <t xml:space="preserve">Written appointment memo.</t>
  </si>
  <si>
    <t xml:space="preserve">2026-04-22</t>
  </si>
  <si>
    <t xml:space="preserve">Bind cyber-liability policy ($5M/$5M)</t>
  </si>
  <si>
    <t xml:space="preserve">Quote + bind; file COI.</t>
  </si>
  <si>
    <t xml:space="preserve">Complete HIPAA security awareness training (Dale + Eng)</t>
  </si>
  <si>
    <t xml:space="preserve">Certificate of completion.</t>
  </si>
  <si>
    <t xml:space="preserve">SSL Labs scan of Vercel + Fly.io endpoints</t>
  </si>
  <si>
    <t xml:space="preserve">Must pass A rating before pilot open.</t>
  </si>
  <si>
    <t xml:space="preserve">Finalize incident response + breach notification policy</t>
  </si>
  <si>
    <t xml:space="preserve">CS-A-05, CS-B-01</t>
  </si>
  <si>
    <t xml:space="preserve">Templates ready to send.</t>
  </si>
  <si>
    <t xml:space="preserve">Complete technical safeguards (auth, encryption, audit log)</t>
  </si>
  <si>
    <t xml:space="preserve">CS-T-01..07</t>
  </si>
  <si>
    <t xml:space="preserve">Per runbook Steps 5–8.</t>
  </si>
  <si>
    <t xml:space="preserve">Countersign BAAs with Vercel Pro, Fly.io, Neon, Resend</t>
  </si>
  <si>
    <t xml:space="preserve">Request during account setup.</t>
  </si>
  <si>
    <t xml:space="preserve">Send pilot docs + URL to Dr. Basher</t>
  </si>
  <si>
    <t xml:space="preserve">All Blockers</t>
  </si>
  <si>
    <t xml:space="preserve">Gate on every Blocker row = Complete.</t>
  </si>
  <si>
    <t xml:space="preserve">Complete Contingency Plan + first backup restoration test</t>
  </si>
  <si>
    <t xml:space="preserve">Document RPO/RTO actuals.</t>
  </si>
  <si>
    <t xml:space="preserve">Publish internal Acceptable Use Policy</t>
  </si>
  <si>
    <t xml:space="preserve">One-page; signed by all workforce.</t>
  </si>
  <si>
    <t xml:space="preserve">2026-06-01</t>
  </si>
  <si>
    <t xml:space="preserve">30-day pilot checkpoint with Dr. Basher</t>
  </si>
  <si>
    <t xml:space="preserve">All</t>
  </si>
  <si>
    <t xml:space="preserve">Walk through audit log with him.</t>
  </si>
  <si>
    <t xml:space="preserve">First quarterly evaluation (CS-A-07)</t>
  </si>
  <si>
    <t xml:space="preserve">Document findings + remediation.</t>
  </si>
  <si>
    <t xml:space="preserve">2026-07-30</t>
  </si>
  <si>
    <t xml:space="preserve">90-day Pilot Term end — convert or close out</t>
  </si>
  <si>
    <t xml:space="preserve">Either sign production agreement or purge PHI per BAA §9(3).</t>
  </si>
  <si>
    <t xml:space="preserve">2026-10-01</t>
  </si>
  <si>
    <t xml:space="preserve">SOC 2 Type I readiness engagement kickoff</t>
  </si>
  <si>
    <t xml:space="preserve">Select Drata/Vanta/Secureframe.</t>
  </si>
  <si>
    <t xml:space="preserve">SOC 2 Type I report issued</t>
  </si>
  <si>
    <t xml:space="preserve">Share with DSO prospects in Q1 2027.</t>
  </si>
  <si>
    <t xml:space="preserve">Annual risk analysis refresh</t>
  </si>
  <si>
    <t xml:space="preserve">Redo using prior year as baseline.</t>
  </si>
  <si>
    <t xml:space="preserve">SOC 2 Type II report issued</t>
  </si>
  <si>
    <t xml:space="preserve">12-month observation window closes Oct 2027.</t>
  </si>
  <si>
    <t xml:space="preserve">Requirement area</t>
  </si>
  <si>
    <t xml:space="preserve">Current state</t>
  </si>
  <si>
    <t xml:space="preserve">Target state</t>
  </si>
  <si>
    <t xml:space="preserve">Gap</t>
  </si>
  <si>
    <t xml:space="preserve">Est. effort</t>
  </si>
  <si>
    <t xml:space="preserve">HIPAA</t>
  </si>
  <si>
    <t xml:space="preserve">Administrative safeguards</t>
  </si>
  <si>
    <t xml:space="preserve">None formally documented</t>
  </si>
  <si>
    <t xml:space="preserve">Risk analysis + Security Official + workforce training</t>
  </si>
  <si>
    <t xml:space="preserve">All administrative docs need to be created</t>
  </si>
  <si>
    <t xml:space="preserve">2 weeks</t>
  </si>
  <si>
    <t xml:space="preserve">Physical safeguards</t>
  </si>
  <si>
    <t xml:space="preserve">Inherited from cloud providers; FileVault enabled</t>
  </si>
  <si>
    <t xml:space="preserve">Documented inheritance + workstation attestations</t>
  </si>
  <si>
    <t xml:space="preserve">Paper trail only</t>
  </si>
  <si>
    <t xml:space="preserve">3 days</t>
  </si>
  <si>
    <t xml:space="preserve">Technical safeguards</t>
  </si>
  <si>
    <t xml:space="preserve">Prototype has no auth, no audit log, localhost only</t>
  </si>
  <si>
    <t xml:space="preserve">Magic-link auth + Postgres audit log + TLS 1.3 + tenant isolation</t>
  </si>
  <si>
    <t xml:space="preserve">Build and deploy per runbook Steps 5–8</t>
  </si>
  <si>
    <t xml:space="preserve">1 week</t>
  </si>
  <si>
    <t xml:space="preserve">Breach notification</t>
  </si>
  <si>
    <t xml:space="preserve">No policy, no templates</t>
  </si>
  <si>
    <t xml:space="preserve">Policy + template letters aligned to BAA §3(3)–(4)</t>
  </si>
  <si>
    <t xml:space="preserve">Document creation</t>
  </si>
  <si>
    <t xml:space="preserve">Organizational (BAAs + insurance)</t>
  </si>
  <si>
    <t xml:space="preserve">Draft BAA; no insurance bound</t>
  </si>
  <si>
    <t xml:space="preserve">Countersigned BAAs with subprocessors + $5M cyber policy</t>
  </si>
  <si>
    <t xml:space="preserve">Legal + procurement</t>
  </si>
  <si>
    <t xml:space="preserve">SOC 2</t>
  </si>
  <si>
    <t xml:space="preserve">Type I readiness</t>
  </si>
  <si>
    <t xml:space="preserve">No controls mapped</t>
  </si>
  <si>
    <t xml:space="preserve">Full control-to-criteria mapping via Drata/Vanta</t>
  </si>
  <si>
    <t xml:space="preserve">Engage auditor</t>
  </si>
  <si>
    <t xml:space="preserve">3 months</t>
  </si>
  <si>
    <t xml:space="preserve">Type II audit</t>
  </si>
  <si>
    <t xml:space="preserve">Not in scope for pilot</t>
  </si>
  <si>
    <t xml:space="preserve">12-month observation + audit</t>
  </si>
  <si>
    <t xml:space="preserve">Type I must complete first</t>
  </si>
  <si>
    <t xml:space="preserve">18 months</t>
  </si>
  <si>
    <t xml:space="preserve">State law</t>
  </si>
  <si>
    <t xml:space="preserve">Governing-law state</t>
  </si>
  <si>
    <t xml:space="preserve">TBD</t>
  </si>
  <si>
    <t xml:space="preserve">Counsel memo confirming state-specific requirements</t>
  </si>
  <si>
    <t xml:space="preserve">Counsel engagement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</si>
</sst>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Times New Roman"/>
      <family val="0"/>
      <charset val="1"/>
    </font>
    <font>
      <i val="true"/>
      <sz val="11"/>
      <color rgb="FFFFFFFF"/>
      <name val="Times New Roman"/>
      <family val="0"/>
      <charset val="1"/>
    </font>
    <font>
      <b val="true"/>
      <sz val="13"/>
      <color rgb="FF1B3A5C"/>
      <name val="Times New Roman"/>
      <family val="0"/>
      <charset val="1"/>
    </font>
    <font>
      <b val="true"/>
      <sz val="11"/>
      <color rgb="FF1B3A5C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4F46E5"/>
        <bgColor rgb="FF333399"/>
      </patternFill>
    </fill>
    <fill>
      <patternFill patternType="solid">
        <fgColor rgb="FFE0E7FF"/>
        <bgColor rgb="FFE5E7EB"/>
      </patternFill>
    </fill>
    <fill>
      <patternFill patternType="solid">
        <fgColor rgb="FFD1FAE5"/>
        <bgColor rgb="FFE5E7EB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E5E7EB"/>
      </patternFill>
    </fill>
    <fill>
      <patternFill patternType="solid">
        <fgColor rgb="FFFFFFFF"/>
        <bgColor rgb="FFFEF3C7"/>
      </patternFill>
    </fill>
    <fill>
      <patternFill patternType="solid">
        <fgColor rgb="FF1B3A5C"/>
        <bgColor rgb="FF333333"/>
      </patternFill>
    </fill>
    <fill>
      <patternFill patternType="solid">
        <fgColor rgb="FFFECACA"/>
        <bgColor rgb="FFFED7AA"/>
      </patternFill>
    </fill>
    <fill>
      <patternFill patternType="solid">
        <fgColor rgb="FFFED7AA"/>
        <bgColor rgb="FFFECACA"/>
      </patternFill>
    </fill>
    <fill>
      <patternFill patternType="solid">
        <fgColor rgb="FFE5E7EB"/>
        <bgColor rgb="FFE0E7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E0E7FF"/>
      <rgbColor rgb="FF660066"/>
      <rgbColor rgb="FFFF8080"/>
      <rgbColor rgb="FF0066CC"/>
      <rgbColor rgb="FFFECA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D1FAE5"/>
      <rgbColor rgb="FFFEE2E2"/>
      <rgbColor rgb="FF99CCFF"/>
      <rgbColor rgb="FFFF99CC"/>
      <rgbColor rgb="FFCC99FF"/>
      <rgbColor rgb="FFFED7AA"/>
      <rgbColor rgb="FF4F46E5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4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6.15" hidden="false" customHeight="false" outlineLevel="0" collapsed="false">
      <c r="A4" s="3" t="s">
        <v>2</v>
      </c>
      <c r="D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COUNTA(Controls!A3:A200)</f>
        <v>25</v>
      </c>
      <c r="D5" s="6" t="s">
        <v>5</v>
      </c>
    </row>
    <row r="6" customFormat="false" ht="15" hidden="false" customHeight="false" outlineLevel="0" collapsed="false">
      <c r="A6" s="4" t="s">
        <v>6</v>
      </c>
      <c r="B6" s="5" t="n">
        <f aca="false">COUNTIF(Controls!G3:G200,"Complete")</f>
        <v>0</v>
      </c>
      <c r="D6" s="7" t="s">
        <v>7</v>
      </c>
    </row>
    <row r="7" customFormat="false" ht="15" hidden="false" customHeight="false" outlineLevel="0" collapsed="false">
      <c r="A7" s="4" t="s">
        <v>8</v>
      </c>
      <c r="B7" s="5" t="n">
        <f aca="false">COUNTIF(Controls!G3:G200,"In progress")</f>
        <v>0</v>
      </c>
      <c r="D7" s="8" t="s">
        <v>9</v>
      </c>
    </row>
    <row r="8" customFormat="false" ht="15" hidden="false" customHeight="false" outlineLevel="0" collapsed="false">
      <c r="A8" s="4" t="s">
        <v>10</v>
      </c>
      <c r="B8" s="5" t="n">
        <f aca="false">COUNTIF(Controls!G3:G200,"Not started")</f>
        <v>25</v>
      </c>
      <c r="D8" s="9" t="s">
        <v>11</v>
      </c>
    </row>
    <row r="9" customFormat="false" ht="15" hidden="false" customHeight="false" outlineLevel="0" collapsed="false">
      <c r="A9" s="4" t="s">
        <v>12</v>
      </c>
      <c r="B9" s="10" t="n">
        <f aca="false">IFERROR(B6/B5,0)</f>
        <v>0</v>
      </c>
    </row>
    <row r="10" customFormat="false" ht="15" hidden="false" customHeight="false" outlineLevel="0" collapsed="false">
      <c r="A10" s="4" t="s">
        <v>13</v>
      </c>
      <c r="B10" s="5" t="n">
        <f aca="false">COUNTIFS(Controls!F3:F200,"Blocker",Controls!G3:G200,"&lt;&gt;Complete")</f>
        <v>14</v>
      </c>
    </row>
    <row r="12" customFormat="false" ht="16.15" hidden="false" customHeight="false" outlineLevel="0" collapsed="false">
      <c r="A12" s="3" t="s">
        <v>14</v>
      </c>
    </row>
    <row r="13" customFormat="false" ht="15" hidden="false" customHeight="false" outlineLevel="0" collapsed="false">
      <c r="A13" s="11" t="s">
        <v>15</v>
      </c>
      <c r="B13" s="11"/>
      <c r="C13" s="11"/>
      <c r="D13" s="11"/>
      <c r="E13" s="11"/>
      <c r="F13" s="11"/>
      <c r="G13" s="11"/>
      <c r="H13" s="11"/>
    </row>
    <row r="14" customFormat="false" ht="15" hidden="false" customHeight="false" outlineLevel="0" collapsed="false">
      <c r="A14" s="11" t="s">
        <v>16</v>
      </c>
      <c r="B14" s="11"/>
      <c r="C14" s="11"/>
      <c r="D14" s="11"/>
      <c r="E14" s="11"/>
      <c r="F14" s="11"/>
      <c r="G14" s="11"/>
      <c r="H14" s="11"/>
    </row>
    <row r="15" customFormat="false" ht="15" hidden="false" customHeight="false" outlineLevel="0" collapsed="false">
      <c r="A15" s="11" t="s">
        <v>17</v>
      </c>
      <c r="B15" s="11"/>
      <c r="C15" s="11"/>
      <c r="D15" s="11"/>
      <c r="E15" s="11"/>
      <c r="F15" s="11"/>
      <c r="G15" s="11"/>
      <c r="H15" s="11"/>
    </row>
    <row r="16" customFormat="false" ht="15" hidden="false" customHeight="false" outlineLevel="0" collapsed="false">
      <c r="A16" s="11" t="s">
        <v>18</v>
      </c>
      <c r="B16" s="11"/>
      <c r="C16" s="11"/>
      <c r="D16" s="11"/>
      <c r="E16" s="11"/>
      <c r="F16" s="11"/>
      <c r="G16" s="11"/>
      <c r="H16" s="11"/>
    </row>
    <row r="17" customFormat="false" ht="15" hidden="false" customHeight="false" outlineLevel="0" collapsed="false">
      <c r="A17" s="11" t="s">
        <v>19</v>
      </c>
      <c r="B17" s="11"/>
      <c r="C17" s="11"/>
      <c r="D17" s="11"/>
      <c r="E17" s="11"/>
      <c r="F17" s="11"/>
      <c r="G17" s="11"/>
      <c r="H17" s="11"/>
    </row>
  </sheetData>
  <mergeCells count="7">
    <mergeCell ref="A1:H1"/>
    <mergeCell ref="A2:H2"/>
    <mergeCell ref="A13:H13"/>
    <mergeCell ref="A14:H14"/>
    <mergeCell ref="A15:H15"/>
    <mergeCell ref="A16:H16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9" min="7" style="0" width="12"/>
    <col collapsed="false" customWidth="true" hidden="false" outlineLevel="0" max="10" min="10" style="0" width="52"/>
  </cols>
  <sheetData>
    <row r="1" customFormat="false" ht="30" hidden="false" customHeight="true" outlineLevel="0" collapsed="false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28</v>
      </c>
      <c r="J1" s="12" t="s">
        <v>29</v>
      </c>
    </row>
    <row r="3" customFormat="false" ht="25.35" hidden="false" customHeight="false" outlineLevel="0" collapsed="false">
      <c r="A3" s="13" t="s">
        <v>30</v>
      </c>
      <c r="B3" s="13" t="s">
        <v>31</v>
      </c>
      <c r="C3" s="13" t="s">
        <v>32</v>
      </c>
      <c r="D3" s="13" t="s">
        <v>33</v>
      </c>
      <c r="E3" s="13" t="s">
        <v>34</v>
      </c>
      <c r="F3" s="14" t="s">
        <v>35</v>
      </c>
      <c r="G3" s="15" t="s">
        <v>9</v>
      </c>
      <c r="H3" s="13" t="s">
        <v>36</v>
      </c>
      <c r="I3" s="13" t="s">
        <v>37</v>
      </c>
      <c r="J3" s="13" t="s">
        <v>38</v>
      </c>
    </row>
    <row r="4" customFormat="false" ht="25.35" hidden="false" customHeight="false" outlineLevel="0" collapsed="false">
      <c r="A4" s="13" t="s">
        <v>39</v>
      </c>
      <c r="B4" s="13" t="s">
        <v>40</v>
      </c>
      <c r="C4" s="13" t="s">
        <v>41</v>
      </c>
      <c r="D4" s="13" t="s">
        <v>42</v>
      </c>
      <c r="E4" s="13" t="s">
        <v>34</v>
      </c>
      <c r="F4" s="14" t="s">
        <v>35</v>
      </c>
      <c r="G4" s="15" t="s">
        <v>9</v>
      </c>
      <c r="H4" s="13" t="s">
        <v>43</v>
      </c>
      <c r="I4" s="13" t="s">
        <v>44</v>
      </c>
      <c r="J4" s="13" t="s">
        <v>45</v>
      </c>
    </row>
    <row r="5" customFormat="false" ht="25.35" hidden="false" customHeight="false" outlineLevel="0" collapsed="false">
      <c r="A5" s="13" t="s">
        <v>46</v>
      </c>
      <c r="B5" s="13" t="s">
        <v>47</v>
      </c>
      <c r="C5" s="13" t="s">
        <v>48</v>
      </c>
      <c r="D5" s="13" t="s">
        <v>49</v>
      </c>
      <c r="E5" s="13" t="s">
        <v>34</v>
      </c>
      <c r="F5" s="14" t="s">
        <v>35</v>
      </c>
      <c r="G5" s="15" t="s">
        <v>9</v>
      </c>
      <c r="H5" s="13" t="s">
        <v>50</v>
      </c>
      <c r="I5" s="13" t="s">
        <v>51</v>
      </c>
      <c r="J5" s="13" t="s">
        <v>52</v>
      </c>
    </row>
    <row r="6" customFormat="false" ht="25.35" hidden="false" customHeight="false" outlineLevel="0" collapsed="false">
      <c r="A6" s="13" t="s">
        <v>53</v>
      </c>
      <c r="B6" s="13" t="s">
        <v>54</v>
      </c>
      <c r="C6" s="13" t="s">
        <v>55</v>
      </c>
      <c r="D6" s="13" t="s">
        <v>56</v>
      </c>
      <c r="E6" s="13" t="s">
        <v>34</v>
      </c>
      <c r="F6" s="14" t="s">
        <v>35</v>
      </c>
      <c r="G6" s="15" t="s">
        <v>9</v>
      </c>
      <c r="H6" s="13" t="s">
        <v>50</v>
      </c>
      <c r="I6" s="13" t="s">
        <v>57</v>
      </c>
      <c r="J6" s="13" t="s">
        <v>58</v>
      </c>
    </row>
    <row r="7" customFormat="false" ht="25.35" hidden="false" customHeight="false" outlineLevel="0" collapsed="false">
      <c r="A7" s="13" t="s">
        <v>59</v>
      </c>
      <c r="B7" s="13" t="s">
        <v>60</v>
      </c>
      <c r="C7" s="13" t="s">
        <v>61</v>
      </c>
      <c r="D7" s="13" t="s">
        <v>62</v>
      </c>
      <c r="E7" s="13" t="s">
        <v>34</v>
      </c>
      <c r="F7" s="14" t="s">
        <v>35</v>
      </c>
      <c r="G7" s="15" t="s">
        <v>9</v>
      </c>
      <c r="H7" s="13" t="s">
        <v>63</v>
      </c>
      <c r="I7" s="13" t="s">
        <v>64</v>
      </c>
      <c r="J7" s="13" t="s">
        <v>65</v>
      </c>
    </row>
    <row r="8" customFormat="false" ht="25.35" hidden="false" customHeight="false" outlineLevel="0" collapsed="false">
      <c r="A8" s="13" t="s">
        <v>66</v>
      </c>
      <c r="B8" s="13" t="s">
        <v>67</v>
      </c>
      <c r="C8" s="13" t="s">
        <v>68</v>
      </c>
      <c r="D8" s="13" t="s">
        <v>69</v>
      </c>
      <c r="E8" s="13" t="s">
        <v>34</v>
      </c>
      <c r="F8" s="16" t="s">
        <v>70</v>
      </c>
      <c r="G8" s="15" t="s">
        <v>9</v>
      </c>
      <c r="H8" s="13" t="s">
        <v>71</v>
      </c>
      <c r="I8" s="13" t="s">
        <v>72</v>
      </c>
      <c r="J8" s="13" t="s">
        <v>73</v>
      </c>
    </row>
    <row r="9" customFormat="false" ht="25.35" hidden="false" customHeight="false" outlineLevel="0" collapsed="false">
      <c r="A9" s="13" t="s">
        <v>74</v>
      </c>
      <c r="B9" s="13" t="s">
        <v>75</v>
      </c>
      <c r="C9" s="13" t="s">
        <v>76</v>
      </c>
      <c r="D9" s="13" t="s">
        <v>77</v>
      </c>
      <c r="E9" s="13" t="s">
        <v>34</v>
      </c>
      <c r="F9" s="17" t="s">
        <v>78</v>
      </c>
      <c r="G9" s="15" t="s">
        <v>9</v>
      </c>
      <c r="H9" s="13" t="s">
        <v>79</v>
      </c>
      <c r="I9" s="13" t="s">
        <v>80</v>
      </c>
      <c r="J9" s="13" t="s">
        <v>81</v>
      </c>
    </row>
    <row r="10" customFormat="false" ht="25.35" hidden="false" customHeight="false" outlineLevel="0" collapsed="false">
      <c r="A10" s="13" t="s">
        <v>82</v>
      </c>
      <c r="B10" s="13" t="s">
        <v>83</v>
      </c>
      <c r="C10" s="13" t="s">
        <v>84</v>
      </c>
      <c r="D10" s="13" t="s">
        <v>85</v>
      </c>
      <c r="E10" s="13" t="s">
        <v>34</v>
      </c>
      <c r="F10" s="14" t="s">
        <v>35</v>
      </c>
      <c r="G10" s="15" t="s">
        <v>9</v>
      </c>
      <c r="H10" s="13" t="s">
        <v>43</v>
      </c>
      <c r="I10" s="13" t="s">
        <v>86</v>
      </c>
      <c r="J10" s="13" t="s">
        <v>87</v>
      </c>
    </row>
    <row r="11" customFormat="false" ht="25.35" hidden="false" customHeight="false" outlineLevel="0" collapsed="false">
      <c r="A11" s="13" t="s">
        <v>88</v>
      </c>
      <c r="B11" s="13" t="s">
        <v>89</v>
      </c>
      <c r="C11" s="13" t="s">
        <v>90</v>
      </c>
      <c r="D11" s="13" t="s">
        <v>91</v>
      </c>
      <c r="E11" s="13" t="s">
        <v>34</v>
      </c>
      <c r="F11" s="17" t="s">
        <v>78</v>
      </c>
      <c r="G11" s="15" t="s">
        <v>9</v>
      </c>
      <c r="H11" s="13" t="s">
        <v>63</v>
      </c>
      <c r="I11" s="13" t="s">
        <v>92</v>
      </c>
      <c r="J11" s="13" t="s">
        <v>93</v>
      </c>
    </row>
    <row r="12" customFormat="false" ht="25.35" hidden="false" customHeight="false" outlineLevel="0" collapsed="false">
      <c r="A12" s="13" t="s">
        <v>94</v>
      </c>
      <c r="B12" s="13" t="s">
        <v>95</v>
      </c>
      <c r="C12" s="13" t="s">
        <v>96</v>
      </c>
      <c r="D12" s="13" t="s">
        <v>97</v>
      </c>
      <c r="E12" s="13" t="s">
        <v>34</v>
      </c>
      <c r="F12" s="16" t="s">
        <v>70</v>
      </c>
      <c r="G12" s="15" t="s">
        <v>9</v>
      </c>
      <c r="H12" s="13" t="s">
        <v>50</v>
      </c>
      <c r="I12" s="13" t="s">
        <v>98</v>
      </c>
      <c r="J12" s="13" t="s">
        <v>99</v>
      </c>
    </row>
    <row r="13" customFormat="false" ht="25.35" hidden="false" customHeight="false" outlineLevel="0" collapsed="false">
      <c r="A13" s="13" t="s">
        <v>100</v>
      </c>
      <c r="B13" s="13" t="s">
        <v>101</v>
      </c>
      <c r="C13" s="13" t="s">
        <v>102</v>
      </c>
      <c r="D13" s="13" t="s">
        <v>103</v>
      </c>
      <c r="E13" s="13" t="s">
        <v>34</v>
      </c>
      <c r="F13" s="17" t="s">
        <v>78</v>
      </c>
      <c r="G13" s="15" t="s">
        <v>9</v>
      </c>
      <c r="H13" s="13" t="s">
        <v>71</v>
      </c>
      <c r="I13" s="13" t="s">
        <v>104</v>
      </c>
      <c r="J13" s="13" t="s">
        <v>105</v>
      </c>
    </row>
    <row r="14" customFormat="false" ht="25.35" hidden="false" customHeight="false" outlineLevel="0" collapsed="false">
      <c r="A14" s="13" t="s">
        <v>106</v>
      </c>
      <c r="B14" s="13" t="s">
        <v>107</v>
      </c>
      <c r="C14" s="13" t="s">
        <v>108</v>
      </c>
      <c r="D14" s="13" t="s">
        <v>109</v>
      </c>
      <c r="E14" s="13" t="s">
        <v>110</v>
      </c>
      <c r="F14" s="14" t="s">
        <v>35</v>
      </c>
      <c r="G14" s="15" t="s">
        <v>9</v>
      </c>
      <c r="H14" s="13" t="s">
        <v>36</v>
      </c>
      <c r="I14" s="13" t="s">
        <v>111</v>
      </c>
      <c r="J14" s="13" t="s">
        <v>112</v>
      </c>
    </row>
    <row r="15" customFormat="false" ht="25.35" hidden="false" customHeight="false" outlineLevel="0" collapsed="false">
      <c r="A15" s="13" t="s">
        <v>113</v>
      </c>
      <c r="B15" s="13" t="s">
        <v>114</v>
      </c>
      <c r="C15" s="13" t="s">
        <v>115</v>
      </c>
      <c r="D15" s="13" t="s">
        <v>116</v>
      </c>
      <c r="E15" s="13" t="s">
        <v>110</v>
      </c>
      <c r="F15" s="16" t="s">
        <v>70</v>
      </c>
      <c r="G15" s="15" t="s">
        <v>9</v>
      </c>
      <c r="H15" s="13" t="s">
        <v>36</v>
      </c>
      <c r="I15" s="13" t="s">
        <v>117</v>
      </c>
      <c r="J15" s="13" t="s">
        <v>118</v>
      </c>
    </row>
    <row r="16" customFormat="false" ht="25.35" hidden="false" customHeight="false" outlineLevel="0" collapsed="false">
      <c r="A16" s="13" t="s">
        <v>119</v>
      </c>
      <c r="B16" s="13" t="s">
        <v>120</v>
      </c>
      <c r="C16" s="13" t="s">
        <v>121</v>
      </c>
      <c r="D16" s="13" t="s">
        <v>122</v>
      </c>
      <c r="E16" s="13" t="s">
        <v>110</v>
      </c>
      <c r="F16" s="14" t="s">
        <v>35</v>
      </c>
      <c r="G16" s="15" t="s">
        <v>9</v>
      </c>
      <c r="H16" s="13" t="s">
        <v>36</v>
      </c>
      <c r="I16" s="13" t="s">
        <v>123</v>
      </c>
      <c r="J16" s="13" t="s">
        <v>124</v>
      </c>
    </row>
    <row r="17" customFormat="false" ht="25.35" hidden="false" customHeight="false" outlineLevel="0" collapsed="false">
      <c r="A17" s="13" t="s">
        <v>125</v>
      </c>
      <c r="B17" s="13" t="s">
        <v>126</v>
      </c>
      <c r="C17" s="13" t="s">
        <v>127</v>
      </c>
      <c r="D17" s="13" t="s">
        <v>128</v>
      </c>
      <c r="E17" s="13" t="s">
        <v>110</v>
      </c>
      <c r="F17" s="14" t="s">
        <v>35</v>
      </c>
      <c r="G17" s="15" t="s">
        <v>9</v>
      </c>
      <c r="H17" s="13" t="s">
        <v>36</v>
      </c>
      <c r="I17" s="13" t="s">
        <v>129</v>
      </c>
      <c r="J17" s="13" t="s">
        <v>130</v>
      </c>
    </row>
    <row r="18" customFormat="false" ht="25.35" hidden="false" customHeight="false" outlineLevel="0" collapsed="false">
      <c r="A18" s="13" t="s">
        <v>131</v>
      </c>
      <c r="B18" s="13" t="s">
        <v>132</v>
      </c>
      <c r="C18" s="13" t="s">
        <v>133</v>
      </c>
      <c r="D18" s="13" t="s">
        <v>134</v>
      </c>
      <c r="E18" s="13" t="s">
        <v>110</v>
      </c>
      <c r="F18" s="16" t="s">
        <v>70</v>
      </c>
      <c r="G18" s="15" t="s">
        <v>9</v>
      </c>
      <c r="H18" s="13" t="s">
        <v>71</v>
      </c>
      <c r="I18" s="13" t="s">
        <v>135</v>
      </c>
      <c r="J18" s="13" t="s">
        <v>136</v>
      </c>
    </row>
    <row r="19" customFormat="false" ht="25.35" hidden="false" customHeight="false" outlineLevel="0" collapsed="false">
      <c r="A19" s="13" t="s">
        <v>137</v>
      </c>
      <c r="B19" s="13" t="s">
        <v>138</v>
      </c>
      <c r="C19" s="13" t="s">
        <v>139</v>
      </c>
      <c r="D19" s="13" t="s">
        <v>140</v>
      </c>
      <c r="E19" s="13" t="s">
        <v>110</v>
      </c>
      <c r="F19" s="14" t="s">
        <v>35</v>
      </c>
      <c r="G19" s="15" t="s">
        <v>9</v>
      </c>
      <c r="H19" s="13" t="s">
        <v>36</v>
      </c>
      <c r="I19" s="13" t="s">
        <v>141</v>
      </c>
      <c r="J19" s="13" t="s">
        <v>142</v>
      </c>
    </row>
    <row r="20" customFormat="false" ht="25.35" hidden="false" customHeight="false" outlineLevel="0" collapsed="false">
      <c r="A20" s="13" t="s">
        <v>143</v>
      </c>
      <c r="B20" s="13" t="s">
        <v>144</v>
      </c>
      <c r="C20" s="13" t="s">
        <v>145</v>
      </c>
      <c r="D20" s="13" t="s">
        <v>146</v>
      </c>
      <c r="E20" s="13" t="s">
        <v>110</v>
      </c>
      <c r="F20" s="14" t="s">
        <v>35</v>
      </c>
      <c r="G20" s="15" t="s">
        <v>9</v>
      </c>
      <c r="H20" s="13" t="s">
        <v>50</v>
      </c>
      <c r="I20" s="13" t="s">
        <v>147</v>
      </c>
      <c r="J20" s="13" t="s">
        <v>148</v>
      </c>
    </row>
    <row r="21" customFormat="false" ht="25.35" hidden="false" customHeight="false" outlineLevel="0" collapsed="false">
      <c r="A21" s="13" t="s">
        <v>149</v>
      </c>
      <c r="B21" s="13" t="s">
        <v>150</v>
      </c>
      <c r="C21" s="13" t="s">
        <v>151</v>
      </c>
      <c r="D21" s="13" t="s">
        <v>152</v>
      </c>
      <c r="E21" s="13" t="s">
        <v>34</v>
      </c>
      <c r="F21" s="14" t="s">
        <v>35</v>
      </c>
      <c r="G21" s="15" t="s">
        <v>9</v>
      </c>
      <c r="H21" s="13" t="s">
        <v>63</v>
      </c>
      <c r="I21" s="13" t="s">
        <v>153</v>
      </c>
      <c r="J21" s="13" t="s">
        <v>154</v>
      </c>
    </row>
    <row r="22" customFormat="false" ht="25.35" hidden="false" customHeight="false" outlineLevel="0" collapsed="false">
      <c r="A22" s="13" t="s">
        <v>155</v>
      </c>
      <c r="B22" s="13" t="s">
        <v>156</v>
      </c>
      <c r="C22" s="13" t="s">
        <v>157</v>
      </c>
      <c r="D22" s="13" t="s">
        <v>158</v>
      </c>
      <c r="E22" s="13" t="s">
        <v>34</v>
      </c>
      <c r="F22" s="14" t="s">
        <v>35</v>
      </c>
      <c r="G22" s="15" t="s">
        <v>9</v>
      </c>
      <c r="H22" s="13" t="s">
        <v>43</v>
      </c>
      <c r="I22" s="13" t="s">
        <v>159</v>
      </c>
      <c r="J22" s="13" t="s">
        <v>160</v>
      </c>
    </row>
    <row r="23" customFormat="false" ht="25.35" hidden="false" customHeight="false" outlineLevel="0" collapsed="false">
      <c r="A23" s="13" t="s">
        <v>161</v>
      </c>
      <c r="B23" s="13" t="s">
        <v>162</v>
      </c>
      <c r="C23" s="13" t="s">
        <v>163</v>
      </c>
      <c r="D23" s="13" t="s">
        <v>164</v>
      </c>
      <c r="E23" s="13" t="s">
        <v>34</v>
      </c>
      <c r="F23" s="14" t="s">
        <v>35</v>
      </c>
      <c r="G23" s="15" t="s">
        <v>9</v>
      </c>
      <c r="H23" s="13" t="s">
        <v>36</v>
      </c>
      <c r="I23" s="13" t="s">
        <v>165</v>
      </c>
      <c r="J23" s="13" t="s">
        <v>166</v>
      </c>
    </row>
    <row r="24" customFormat="false" ht="25.35" hidden="false" customHeight="false" outlineLevel="0" collapsed="false">
      <c r="A24" s="13" t="s">
        <v>167</v>
      </c>
      <c r="B24" s="13" t="s">
        <v>162</v>
      </c>
      <c r="C24" s="13" t="s">
        <v>168</v>
      </c>
      <c r="D24" s="13" t="s">
        <v>169</v>
      </c>
      <c r="E24" s="13" t="s">
        <v>34</v>
      </c>
      <c r="F24" s="17" t="s">
        <v>78</v>
      </c>
      <c r="G24" s="15" t="s">
        <v>9</v>
      </c>
      <c r="H24" s="13" t="s">
        <v>71</v>
      </c>
      <c r="I24" s="13" t="s">
        <v>170</v>
      </c>
      <c r="J24" s="13" t="s">
        <v>171</v>
      </c>
    </row>
    <row r="25" customFormat="false" ht="25.35" hidden="false" customHeight="false" outlineLevel="0" collapsed="false">
      <c r="A25" s="13" t="s">
        <v>172</v>
      </c>
      <c r="B25" s="13" t="s">
        <v>173</v>
      </c>
      <c r="C25" s="13" t="s">
        <v>174</v>
      </c>
      <c r="D25" s="13" t="s">
        <v>175</v>
      </c>
      <c r="E25" s="13" t="s">
        <v>176</v>
      </c>
      <c r="F25" s="16" t="s">
        <v>70</v>
      </c>
      <c r="G25" s="15" t="s">
        <v>9</v>
      </c>
      <c r="H25" s="13" t="s">
        <v>177</v>
      </c>
      <c r="I25" s="13" t="s">
        <v>178</v>
      </c>
      <c r="J25" s="13" t="s">
        <v>179</v>
      </c>
    </row>
    <row r="26" customFormat="false" ht="25.35" hidden="false" customHeight="false" outlineLevel="0" collapsed="false">
      <c r="A26" s="13" t="s">
        <v>180</v>
      </c>
      <c r="B26" s="13" t="s">
        <v>181</v>
      </c>
      <c r="C26" s="13" t="s">
        <v>182</v>
      </c>
      <c r="D26" s="13" t="s">
        <v>183</v>
      </c>
      <c r="E26" s="13" t="s">
        <v>34</v>
      </c>
      <c r="F26" s="18" t="s">
        <v>184</v>
      </c>
      <c r="G26" s="15" t="s">
        <v>9</v>
      </c>
      <c r="H26" s="13" t="s">
        <v>185</v>
      </c>
      <c r="I26" s="13" t="s">
        <v>186</v>
      </c>
      <c r="J26" s="13" t="s">
        <v>187</v>
      </c>
    </row>
    <row r="27" customFormat="false" ht="25.35" hidden="false" customHeight="false" outlineLevel="0" collapsed="false">
      <c r="A27" s="13" t="s">
        <v>188</v>
      </c>
      <c r="B27" s="13" t="s">
        <v>189</v>
      </c>
      <c r="C27" s="13" t="s">
        <v>190</v>
      </c>
      <c r="D27" s="13" t="s">
        <v>191</v>
      </c>
      <c r="E27" s="13" t="s">
        <v>34</v>
      </c>
      <c r="F27" s="18" t="s">
        <v>184</v>
      </c>
      <c r="G27" s="15" t="s">
        <v>9</v>
      </c>
      <c r="H27" s="13" t="s">
        <v>192</v>
      </c>
      <c r="I27" s="13" t="s">
        <v>193</v>
      </c>
      <c r="J27" s="13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26"/>
    <col collapsed="false" customWidth="true" hidden="false" outlineLevel="0" max="4" min="4" style="0" width="55"/>
    <col collapsed="false" customWidth="true" hidden="false" outlineLevel="0" max="7" min="5" style="0" width="14"/>
    <col collapsed="false" customWidth="true" hidden="false" outlineLevel="0" max="8" min="8" style="0" width="50"/>
  </cols>
  <sheetData>
    <row r="1" customFormat="false" ht="30" hidden="false" customHeight="true" outlineLevel="0" collapsed="false">
      <c r="A1" s="12" t="s">
        <v>195</v>
      </c>
      <c r="B1" s="12" t="s">
        <v>196</v>
      </c>
      <c r="C1" s="12" t="s">
        <v>197</v>
      </c>
      <c r="D1" s="12" t="s">
        <v>198</v>
      </c>
      <c r="E1" s="12" t="s">
        <v>199</v>
      </c>
      <c r="F1" s="12" t="s">
        <v>200</v>
      </c>
      <c r="G1" s="12" t="s">
        <v>201</v>
      </c>
      <c r="H1" s="12" t="s">
        <v>29</v>
      </c>
    </row>
    <row r="2" customFormat="false" ht="15" hidden="false" customHeight="false" outlineLevel="0" collapsed="false">
      <c r="A2" s="13" t="s">
        <v>37</v>
      </c>
      <c r="B2" s="13" t="s">
        <v>30</v>
      </c>
      <c r="C2" s="13" t="s">
        <v>202</v>
      </c>
      <c r="D2" s="13" t="s">
        <v>203</v>
      </c>
      <c r="E2" s="13" t="s">
        <v>34</v>
      </c>
      <c r="F2" s="13"/>
      <c r="G2" s="13" t="s">
        <v>204</v>
      </c>
      <c r="H2" s="13" t="s">
        <v>205</v>
      </c>
    </row>
    <row r="3" customFormat="false" ht="15" hidden="false" customHeight="false" outlineLevel="0" collapsed="false">
      <c r="A3" s="13" t="s">
        <v>44</v>
      </c>
      <c r="B3" s="13" t="s">
        <v>39</v>
      </c>
      <c r="C3" s="13" t="s">
        <v>206</v>
      </c>
      <c r="D3" s="13" t="s">
        <v>207</v>
      </c>
      <c r="E3" s="13" t="s">
        <v>34</v>
      </c>
      <c r="F3" s="13"/>
      <c r="G3" s="13" t="s">
        <v>208</v>
      </c>
      <c r="H3" s="13" t="s">
        <v>209</v>
      </c>
    </row>
    <row r="4" customFormat="false" ht="15" hidden="false" customHeight="false" outlineLevel="0" collapsed="false">
      <c r="A4" s="13" t="s">
        <v>51</v>
      </c>
      <c r="B4" s="13" t="s">
        <v>46</v>
      </c>
      <c r="C4" s="13" t="s">
        <v>210</v>
      </c>
      <c r="D4" s="13" t="s">
        <v>211</v>
      </c>
      <c r="E4" s="13" t="s">
        <v>34</v>
      </c>
      <c r="F4" s="13"/>
      <c r="G4" s="13" t="s">
        <v>212</v>
      </c>
      <c r="H4" s="13" t="s">
        <v>213</v>
      </c>
    </row>
    <row r="5" customFormat="false" ht="15" hidden="false" customHeight="false" outlineLevel="0" collapsed="false">
      <c r="A5" s="13" t="s">
        <v>57</v>
      </c>
      <c r="B5" s="13" t="s">
        <v>53</v>
      </c>
      <c r="C5" s="13" t="s">
        <v>214</v>
      </c>
      <c r="D5" s="13" t="s">
        <v>215</v>
      </c>
      <c r="E5" s="13" t="s">
        <v>34</v>
      </c>
      <c r="F5" s="13"/>
      <c r="G5" s="13" t="s">
        <v>216</v>
      </c>
      <c r="H5" s="13" t="s">
        <v>217</v>
      </c>
    </row>
    <row r="6" customFormat="false" ht="15" hidden="false" customHeight="false" outlineLevel="0" collapsed="false">
      <c r="A6" s="13" t="s">
        <v>64</v>
      </c>
      <c r="B6" s="13" t="s">
        <v>59</v>
      </c>
      <c r="C6" s="13" t="s">
        <v>218</v>
      </c>
      <c r="D6" s="13" t="s">
        <v>219</v>
      </c>
      <c r="E6" s="13" t="s">
        <v>34</v>
      </c>
      <c r="F6" s="13"/>
      <c r="G6" s="13" t="s">
        <v>204</v>
      </c>
      <c r="H6" s="13" t="s">
        <v>220</v>
      </c>
    </row>
    <row r="7" customFormat="false" ht="25.35" hidden="false" customHeight="false" outlineLevel="0" collapsed="false">
      <c r="A7" s="13" t="s">
        <v>72</v>
      </c>
      <c r="B7" s="13" t="s">
        <v>66</v>
      </c>
      <c r="C7" s="13" t="s">
        <v>221</v>
      </c>
      <c r="D7" s="13" t="s">
        <v>222</v>
      </c>
      <c r="E7" s="13" t="s">
        <v>34</v>
      </c>
      <c r="F7" s="13"/>
      <c r="G7" s="13" t="s">
        <v>223</v>
      </c>
      <c r="H7" s="13" t="s">
        <v>224</v>
      </c>
    </row>
    <row r="8" customFormat="false" ht="15" hidden="false" customHeight="false" outlineLevel="0" collapsed="false">
      <c r="A8" s="13" t="s">
        <v>80</v>
      </c>
      <c r="B8" s="13" t="s">
        <v>74</v>
      </c>
      <c r="C8" s="13" t="s">
        <v>225</v>
      </c>
      <c r="D8" s="13" t="s">
        <v>226</v>
      </c>
      <c r="E8" s="13" t="s">
        <v>34</v>
      </c>
      <c r="F8" s="13"/>
      <c r="G8" s="13" t="s">
        <v>227</v>
      </c>
      <c r="H8" s="13" t="s">
        <v>228</v>
      </c>
    </row>
    <row r="9" customFormat="false" ht="15" hidden="false" customHeight="false" outlineLevel="0" collapsed="false">
      <c r="A9" s="13" t="s">
        <v>86</v>
      </c>
      <c r="B9" s="13" t="s">
        <v>82</v>
      </c>
      <c r="C9" s="13" t="s">
        <v>229</v>
      </c>
      <c r="D9" s="13" t="s">
        <v>230</v>
      </c>
      <c r="E9" s="13" t="s">
        <v>34</v>
      </c>
      <c r="F9" s="13"/>
      <c r="G9" s="13" t="s">
        <v>231</v>
      </c>
      <c r="H9" s="13" t="s">
        <v>232</v>
      </c>
    </row>
    <row r="10" customFormat="false" ht="25.35" hidden="false" customHeight="false" outlineLevel="0" collapsed="false">
      <c r="A10" s="13" t="s">
        <v>92</v>
      </c>
      <c r="B10" s="13" t="s">
        <v>88</v>
      </c>
      <c r="C10" s="13" t="s">
        <v>233</v>
      </c>
      <c r="D10" s="13" t="s">
        <v>234</v>
      </c>
      <c r="E10" s="13" t="s">
        <v>34</v>
      </c>
      <c r="F10" s="13"/>
      <c r="G10" s="13" t="s">
        <v>204</v>
      </c>
      <c r="H10" s="13" t="s">
        <v>235</v>
      </c>
    </row>
    <row r="11" customFormat="false" ht="25.35" hidden="false" customHeight="false" outlineLevel="0" collapsed="false">
      <c r="A11" s="13" t="s">
        <v>98</v>
      </c>
      <c r="B11" s="13" t="s">
        <v>94</v>
      </c>
      <c r="C11" s="13" t="s">
        <v>236</v>
      </c>
      <c r="D11" s="13" t="s">
        <v>237</v>
      </c>
      <c r="E11" s="13" t="s">
        <v>34</v>
      </c>
      <c r="F11" s="13"/>
      <c r="G11" s="13" t="s">
        <v>216</v>
      </c>
      <c r="H11" s="13" t="s">
        <v>238</v>
      </c>
    </row>
    <row r="12" customFormat="false" ht="15" hidden="false" customHeight="false" outlineLevel="0" collapsed="false">
      <c r="A12" s="13" t="s">
        <v>104</v>
      </c>
      <c r="B12" s="13" t="s">
        <v>100</v>
      </c>
      <c r="C12" s="13" t="s">
        <v>239</v>
      </c>
      <c r="D12" s="13" t="s">
        <v>240</v>
      </c>
      <c r="E12" s="13" t="s">
        <v>34</v>
      </c>
      <c r="F12" s="13"/>
      <c r="G12" s="13" t="s">
        <v>241</v>
      </c>
      <c r="H12" s="13" t="s">
        <v>242</v>
      </c>
    </row>
    <row r="13" customFormat="false" ht="25.35" hidden="false" customHeight="false" outlineLevel="0" collapsed="false">
      <c r="A13" s="13" t="s">
        <v>111</v>
      </c>
      <c r="B13" s="13" t="s">
        <v>106</v>
      </c>
      <c r="C13" s="13" t="s">
        <v>243</v>
      </c>
      <c r="D13" s="13" t="s">
        <v>244</v>
      </c>
      <c r="E13" s="13" t="s">
        <v>110</v>
      </c>
      <c r="F13" s="13"/>
      <c r="G13" s="13" t="s">
        <v>216</v>
      </c>
      <c r="H13" s="13" t="s">
        <v>245</v>
      </c>
    </row>
    <row r="14" customFormat="false" ht="15" hidden="false" customHeight="false" outlineLevel="0" collapsed="false">
      <c r="A14" s="13" t="s">
        <v>117</v>
      </c>
      <c r="B14" s="13" t="s">
        <v>113</v>
      </c>
      <c r="C14" s="13" t="s">
        <v>246</v>
      </c>
      <c r="D14" s="13" t="s">
        <v>247</v>
      </c>
      <c r="E14" s="13" t="s">
        <v>110</v>
      </c>
      <c r="F14" s="13"/>
      <c r="G14" s="13" t="s">
        <v>216</v>
      </c>
      <c r="H14" s="13" t="s">
        <v>248</v>
      </c>
    </row>
    <row r="15" customFormat="false" ht="15" hidden="false" customHeight="false" outlineLevel="0" collapsed="false">
      <c r="A15" s="13" t="s">
        <v>123</v>
      </c>
      <c r="B15" s="13" t="s">
        <v>119</v>
      </c>
      <c r="C15" s="13" t="s">
        <v>249</v>
      </c>
      <c r="D15" s="13" t="s">
        <v>250</v>
      </c>
      <c r="E15" s="13" t="s">
        <v>110</v>
      </c>
      <c r="F15" s="13"/>
      <c r="G15" s="13" t="s">
        <v>216</v>
      </c>
      <c r="H15" s="13" t="s">
        <v>251</v>
      </c>
    </row>
    <row r="16" customFormat="false" ht="25.35" hidden="false" customHeight="false" outlineLevel="0" collapsed="false">
      <c r="A16" s="13" t="s">
        <v>129</v>
      </c>
      <c r="B16" s="13" t="s">
        <v>125</v>
      </c>
      <c r="C16" s="13" t="s">
        <v>252</v>
      </c>
      <c r="D16" s="13" t="s">
        <v>253</v>
      </c>
      <c r="E16" s="13" t="s">
        <v>110</v>
      </c>
      <c r="F16" s="13"/>
      <c r="G16" s="13" t="s">
        <v>227</v>
      </c>
      <c r="H16" s="13" t="s">
        <v>254</v>
      </c>
    </row>
    <row r="17" customFormat="false" ht="15" hidden="false" customHeight="false" outlineLevel="0" collapsed="false">
      <c r="A17" s="13" t="s">
        <v>135</v>
      </c>
      <c r="B17" s="13" t="s">
        <v>131</v>
      </c>
      <c r="C17" s="13" t="s">
        <v>255</v>
      </c>
      <c r="D17" s="13" t="s">
        <v>256</v>
      </c>
      <c r="E17" s="13" t="s">
        <v>110</v>
      </c>
      <c r="F17" s="13"/>
      <c r="G17" s="13" t="s">
        <v>216</v>
      </c>
      <c r="H17" s="13" t="s">
        <v>257</v>
      </c>
    </row>
    <row r="18" customFormat="false" ht="15" hidden="false" customHeight="false" outlineLevel="0" collapsed="false">
      <c r="A18" s="13" t="s">
        <v>141</v>
      </c>
      <c r="B18" s="13" t="s">
        <v>137</v>
      </c>
      <c r="C18" s="13" t="s">
        <v>258</v>
      </c>
      <c r="D18" s="13" t="s">
        <v>259</v>
      </c>
      <c r="E18" s="13" t="s">
        <v>110</v>
      </c>
      <c r="F18" s="13"/>
      <c r="G18" s="13" t="s">
        <v>216</v>
      </c>
      <c r="H18" s="13" t="s">
        <v>260</v>
      </c>
    </row>
    <row r="19" customFormat="false" ht="15" hidden="false" customHeight="false" outlineLevel="0" collapsed="false">
      <c r="A19" s="13" t="s">
        <v>147</v>
      </c>
      <c r="B19" s="13" t="s">
        <v>143</v>
      </c>
      <c r="C19" s="13" t="s">
        <v>261</v>
      </c>
      <c r="D19" s="13" t="s">
        <v>262</v>
      </c>
      <c r="E19" s="13" t="s">
        <v>110</v>
      </c>
      <c r="F19" s="13"/>
      <c r="G19" s="13" t="s">
        <v>227</v>
      </c>
      <c r="H19" s="13" t="s">
        <v>263</v>
      </c>
    </row>
    <row r="20" customFormat="false" ht="25.35" hidden="false" customHeight="false" outlineLevel="0" collapsed="false">
      <c r="A20" s="13" t="s">
        <v>153</v>
      </c>
      <c r="B20" s="13" t="s">
        <v>149</v>
      </c>
      <c r="C20" s="13" t="s">
        <v>264</v>
      </c>
      <c r="D20" s="13" t="s">
        <v>265</v>
      </c>
      <c r="E20" s="13" t="s">
        <v>34</v>
      </c>
      <c r="F20" s="13"/>
      <c r="G20" s="13" t="s">
        <v>204</v>
      </c>
      <c r="H20" s="13" t="s">
        <v>266</v>
      </c>
    </row>
    <row r="21" customFormat="false" ht="15" hidden="false" customHeight="false" outlineLevel="0" collapsed="false">
      <c r="A21" s="13" t="s">
        <v>159</v>
      </c>
      <c r="B21" s="13" t="s">
        <v>155</v>
      </c>
      <c r="C21" s="13" t="s">
        <v>267</v>
      </c>
      <c r="D21" s="13" t="s">
        <v>268</v>
      </c>
      <c r="E21" s="13" t="s">
        <v>34</v>
      </c>
      <c r="F21" s="13"/>
      <c r="G21" s="13" t="s">
        <v>231</v>
      </c>
      <c r="H21" s="13" t="s">
        <v>269</v>
      </c>
    </row>
    <row r="22" customFormat="false" ht="25.35" hidden="false" customHeight="false" outlineLevel="0" collapsed="false">
      <c r="A22" s="13" t="s">
        <v>165</v>
      </c>
      <c r="B22" s="13" t="s">
        <v>161</v>
      </c>
      <c r="C22" s="13" t="s">
        <v>270</v>
      </c>
      <c r="D22" s="13" t="s">
        <v>271</v>
      </c>
      <c r="E22" s="13" t="s">
        <v>34</v>
      </c>
      <c r="F22" s="13"/>
      <c r="G22" s="13" t="s">
        <v>216</v>
      </c>
      <c r="H22" s="13" t="s">
        <v>272</v>
      </c>
    </row>
    <row r="23" customFormat="false" ht="25.35" hidden="false" customHeight="false" outlineLevel="0" collapsed="false">
      <c r="A23" s="13" t="s">
        <v>170</v>
      </c>
      <c r="B23" s="13" t="s">
        <v>167</v>
      </c>
      <c r="C23" s="13" t="s">
        <v>273</v>
      </c>
      <c r="D23" s="13" t="s">
        <v>274</v>
      </c>
      <c r="E23" s="13" t="s">
        <v>34</v>
      </c>
      <c r="F23" s="13"/>
      <c r="G23" s="13" t="s">
        <v>275</v>
      </c>
      <c r="H23" s="13" t="s">
        <v>276</v>
      </c>
    </row>
    <row r="24" customFormat="false" ht="25.35" hidden="false" customHeight="false" outlineLevel="0" collapsed="false">
      <c r="A24" s="13" t="s">
        <v>178</v>
      </c>
      <c r="B24" s="13" t="s">
        <v>172</v>
      </c>
      <c r="C24" s="13" t="s">
        <v>277</v>
      </c>
      <c r="D24" s="13" t="s">
        <v>278</v>
      </c>
      <c r="E24" s="13" t="s">
        <v>176</v>
      </c>
      <c r="F24" s="13"/>
      <c r="G24" s="13" t="s">
        <v>279</v>
      </c>
      <c r="H24" s="13" t="s">
        <v>280</v>
      </c>
    </row>
    <row r="25" customFormat="false" ht="15" hidden="false" customHeight="false" outlineLevel="0" collapsed="false">
      <c r="A25" s="13" t="s">
        <v>186</v>
      </c>
      <c r="B25" s="13" t="s">
        <v>180</v>
      </c>
      <c r="C25" s="13" t="s">
        <v>281</v>
      </c>
      <c r="D25" s="13" t="s">
        <v>282</v>
      </c>
      <c r="E25" s="13" t="s">
        <v>34</v>
      </c>
      <c r="F25" s="13"/>
      <c r="G25" s="13" t="s">
        <v>283</v>
      </c>
      <c r="H25" s="13" t="s">
        <v>284</v>
      </c>
    </row>
    <row r="26" customFormat="false" ht="15" hidden="false" customHeight="false" outlineLevel="0" collapsed="false">
      <c r="A26" s="13" t="s">
        <v>193</v>
      </c>
      <c r="B26" s="13" t="s">
        <v>188</v>
      </c>
      <c r="C26" s="13" t="s">
        <v>285</v>
      </c>
      <c r="D26" s="13" t="s">
        <v>286</v>
      </c>
      <c r="E26" s="13" t="s">
        <v>34</v>
      </c>
      <c r="F26" s="13"/>
      <c r="G26" s="13" t="s">
        <v>216</v>
      </c>
      <c r="H26" s="13" t="s"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0"/>
    <col collapsed="false" customWidth="true" hidden="false" outlineLevel="0" max="3" min="3" style="0" width="24"/>
    <col collapsed="false" customWidth="true" hidden="false" outlineLevel="0" max="5" min="4" style="0" width="14"/>
    <col collapsed="false" customWidth="true" hidden="false" outlineLevel="0" max="6" min="6" style="0" width="50"/>
  </cols>
  <sheetData>
    <row r="1" customFormat="false" ht="30" hidden="false" customHeight="true" outlineLevel="0" collapsed="false">
      <c r="A1" s="12" t="s">
        <v>288</v>
      </c>
      <c r="B1" s="12" t="s">
        <v>289</v>
      </c>
      <c r="C1" s="12" t="s">
        <v>290</v>
      </c>
      <c r="D1" s="12" t="s">
        <v>24</v>
      </c>
      <c r="E1" s="12" t="s">
        <v>26</v>
      </c>
      <c r="F1" s="12" t="s">
        <v>29</v>
      </c>
    </row>
    <row r="2" customFormat="false" ht="25.35" hidden="false" customHeight="false" outlineLevel="0" collapsed="false">
      <c r="A2" s="13" t="s">
        <v>43</v>
      </c>
      <c r="B2" s="13" t="s">
        <v>291</v>
      </c>
      <c r="C2" s="13" t="s">
        <v>292</v>
      </c>
      <c r="D2" s="13" t="s">
        <v>176</v>
      </c>
      <c r="E2" s="15" t="s">
        <v>9</v>
      </c>
      <c r="F2" s="13" t="s">
        <v>293</v>
      </c>
    </row>
    <row r="3" customFormat="false" ht="15" hidden="false" customHeight="false" outlineLevel="0" collapsed="false">
      <c r="A3" s="13" t="s">
        <v>43</v>
      </c>
      <c r="B3" s="13" t="s">
        <v>294</v>
      </c>
      <c r="C3" s="13" t="s">
        <v>39</v>
      </c>
      <c r="D3" s="13" t="s">
        <v>34</v>
      </c>
      <c r="E3" s="15" t="s">
        <v>9</v>
      </c>
      <c r="F3" s="13" t="s">
        <v>295</v>
      </c>
    </row>
    <row r="4" customFormat="false" ht="15" hidden="false" customHeight="false" outlineLevel="0" collapsed="false">
      <c r="A4" s="13" t="s">
        <v>296</v>
      </c>
      <c r="B4" s="13" t="s">
        <v>297</v>
      </c>
      <c r="C4" s="13" t="s">
        <v>161</v>
      </c>
      <c r="D4" s="13" t="s">
        <v>34</v>
      </c>
      <c r="E4" s="15" t="s">
        <v>9</v>
      </c>
      <c r="F4" s="13" t="s">
        <v>298</v>
      </c>
    </row>
    <row r="5" customFormat="false" ht="25.35" hidden="false" customHeight="false" outlineLevel="0" collapsed="false">
      <c r="A5" s="13" t="s">
        <v>50</v>
      </c>
      <c r="B5" s="13" t="s">
        <v>299</v>
      </c>
      <c r="C5" s="13" t="s">
        <v>53</v>
      </c>
      <c r="D5" s="13" t="s">
        <v>34</v>
      </c>
      <c r="E5" s="15" t="s">
        <v>9</v>
      </c>
      <c r="F5" s="13" t="s">
        <v>300</v>
      </c>
    </row>
    <row r="6" customFormat="false" ht="15" hidden="false" customHeight="false" outlineLevel="0" collapsed="false">
      <c r="A6" s="13" t="s">
        <v>50</v>
      </c>
      <c r="B6" s="13" t="s">
        <v>301</v>
      </c>
      <c r="C6" s="13" t="s">
        <v>143</v>
      </c>
      <c r="D6" s="13" t="s">
        <v>110</v>
      </c>
      <c r="E6" s="15" t="s">
        <v>9</v>
      </c>
      <c r="F6" s="13" t="s">
        <v>302</v>
      </c>
    </row>
    <row r="7" customFormat="false" ht="15" hidden="false" customHeight="false" outlineLevel="0" collapsed="false">
      <c r="A7" s="13" t="s">
        <v>63</v>
      </c>
      <c r="B7" s="13" t="s">
        <v>303</v>
      </c>
      <c r="C7" s="13" t="s">
        <v>304</v>
      </c>
      <c r="D7" s="13" t="s">
        <v>34</v>
      </c>
      <c r="E7" s="15" t="s">
        <v>9</v>
      </c>
      <c r="F7" s="13" t="s">
        <v>305</v>
      </c>
    </row>
    <row r="8" customFormat="false" ht="15" hidden="false" customHeight="false" outlineLevel="0" collapsed="false">
      <c r="A8" s="13" t="s">
        <v>36</v>
      </c>
      <c r="B8" s="13" t="s">
        <v>306</v>
      </c>
      <c r="C8" s="13" t="s">
        <v>307</v>
      </c>
      <c r="D8" s="13" t="s">
        <v>110</v>
      </c>
      <c r="E8" s="15" t="s">
        <v>9</v>
      </c>
      <c r="F8" s="13" t="s">
        <v>308</v>
      </c>
    </row>
    <row r="9" customFormat="false" ht="15" hidden="false" customHeight="false" outlineLevel="0" collapsed="false">
      <c r="A9" s="13" t="s">
        <v>36</v>
      </c>
      <c r="B9" s="13" t="s">
        <v>309</v>
      </c>
      <c r="C9" s="13" t="s">
        <v>82</v>
      </c>
      <c r="D9" s="13" t="s">
        <v>34</v>
      </c>
      <c r="E9" s="15" t="s">
        <v>9</v>
      </c>
      <c r="F9" s="13" t="s">
        <v>310</v>
      </c>
    </row>
    <row r="10" customFormat="false" ht="15" hidden="false" customHeight="false" outlineLevel="0" collapsed="false">
      <c r="A10" s="13" t="s">
        <v>177</v>
      </c>
      <c r="B10" s="13" t="s">
        <v>311</v>
      </c>
      <c r="C10" s="13" t="s">
        <v>312</v>
      </c>
      <c r="D10" s="13" t="s">
        <v>34</v>
      </c>
      <c r="E10" s="15" t="s">
        <v>9</v>
      </c>
      <c r="F10" s="13" t="s">
        <v>313</v>
      </c>
    </row>
    <row r="11" customFormat="false" ht="15" hidden="false" customHeight="false" outlineLevel="0" collapsed="false">
      <c r="A11" s="13" t="s">
        <v>71</v>
      </c>
      <c r="B11" s="13" t="s">
        <v>314</v>
      </c>
      <c r="C11" s="13" t="s">
        <v>66</v>
      </c>
      <c r="D11" s="13" t="s">
        <v>110</v>
      </c>
      <c r="E11" s="15" t="s">
        <v>9</v>
      </c>
      <c r="F11" s="13" t="s">
        <v>315</v>
      </c>
    </row>
    <row r="12" customFormat="false" ht="15" hidden="false" customHeight="false" outlineLevel="0" collapsed="false">
      <c r="A12" s="13" t="s">
        <v>71</v>
      </c>
      <c r="B12" s="13" t="s">
        <v>316</v>
      </c>
      <c r="C12" s="13" t="s">
        <v>167</v>
      </c>
      <c r="D12" s="13" t="s">
        <v>34</v>
      </c>
      <c r="E12" s="15" t="s">
        <v>9</v>
      </c>
      <c r="F12" s="13" t="s">
        <v>317</v>
      </c>
    </row>
    <row r="13" customFormat="false" ht="15" hidden="false" customHeight="false" outlineLevel="0" collapsed="false">
      <c r="A13" s="13" t="s">
        <v>318</v>
      </c>
      <c r="B13" s="13" t="s">
        <v>319</v>
      </c>
      <c r="C13" s="13" t="s">
        <v>320</v>
      </c>
      <c r="D13" s="13" t="s">
        <v>34</v>
      </c>
      <c r="E13" s="15" t="s">
        <v>9</v>
      </c>
      <c r="F13" s="13" t="s">
        <v>321</v>
      </c>
    </row>
    <row r="14" customFormat="false" ht="15" hidden="false" customHeight="false" outlineLevel="0" collapsed="false">
      <c r="A14" s="13" t="s">
        <v>79</v>
      </c>
      <c r="B14" s="13" t="s">
        <v>322</v>
      </c>
      <c r="C14" s="13" t="s">
        <v>74</v>
      </c>
      <c r="D14" s="13" t="s">
        <v>34</v>
      </c>
      <c r="E14" s="15" t="s">
        <v>9</v>
      </c>
      <c r="F14" s="13" t="s">
        <v>323</v>
      </c>
    </row>
    <row r="15" customFormat="false" ht="25.35" hidden="false" customHeight="false" outlineLevel="0" collapsed="false">
      <c r="A15" s="13" t="s">
        <v>324</v>
      </c>
      <c r="B15" s="13" t="s">
        <v>325</v>
      </c>
      <c r="C15" s="13" t="s">
        <v>320</v>
      </c>
      <c r="D15" s="13" t="s">
        <v>34</v>
      </c>
      <c r="E15" s="15" t="s">
        <v>9</v>
      </c>
      <c r="F15" s="13" t="s">
        <v>326</v>
      </c>
    </row>
    <row r="16" customFormat="false" ht="15" hidden="false" customHeight="false" outlineLevel="0" collapsed="false">
      <c r="A16" s="13" t="s">
        <v>327</v>
      </c>
      <c r="B16" s="13" t="s">
        <v>328</v>
      </c>
      <c r="C16" s="13" t="s">
        <v>180</v>
      </c>
      <c r="D16" s="13" t="s">
        <v>34</v>
      </c>
      <c r="E16" s="15" t="s">
        <v>9</v>
      </c>
      <c r="F16" s="13" t="s">
        <v>329</v>
      </c>
    </row>
    <row r="17" customFormat="false" ht="15" hidden="false" customHeight="false" outlineLevel="0" collapsed="false">
      <c r="A17" s="13" t="s">
        <v>185</v>
      </c>
      <c r="B17" s="13" t="s">
        <v>330</v>
      </c>
      <c r="C17" s="13" t="s">
        <v>180</v>
      </c>
      <c r="D17" s="13" t="s">
        <v>34</v>
      </c>
      <c r="E17" s="15" t="s">
        <v>9</v>
      </c>
      <c r="F17" s="13" t="s">
        <v>331</v>
      </c>
    </row>
    <row r="18" customFormat="false" ht="15" hidden="false" customHeight="false" outlineLevel="0" collapsed="false">
      <c r="A18" s="13" t="s">
        <v>204</v>
      </c>
      <c r="B18" s="13" t="s">
        <v>332</v>
      </c>
      <c r="C18" s="13" t="s">
        <v>30</v>
      </c>
      <c r="D18" s="13" t="s">
        <v>34</v>
      </c>
      <c r="E18" s="15" t="s">
        <v>9</v>
      </c>
      <c r="F18" s="13" t="s">
        <v>333</v>
      </c>
    </row>
    <row r="19" customFormat="false" ht="15" hidden="false" customHeight="false" outlineLevel="0" collapsed="false">
      <c r="A19" s="13" t="s">
        <v>192</v>
      </c>
      <c r="B19" s="13" t="s">
        <v>334</v>
      </c>
      <c r="C19" s="13" t="s">
        <v>188</v>
      </c>
      <c r="D19" s="13" t="s">
        <v>34</v>
      </c>
      <c r="E19" s="15" t="s">
        <v>9</v>
      </c>
      <c r="F19" s="13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4" min="3" style="0" width="40"/>
    <col collapsed="false" customWidth="true" hidden="false" outlineLevel="0" max="5" min="5" style="0" width="44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2" t="s">
        <v>21</v>
      </c>
      <c r="B1" s="12" t="s">
        <v>336</v>
      </c>
      <c r="C1" s="12" t="s">
        <v>337</v>
      </c>
      <c r="D1" s="12" t="s">
        <v>338</v>
      </c>
      <c r="E1" s="12" t="s">
        <v>339</v>
      </c>
      <c r="F1" s="12" t="s">
        <v>25</v>
      </c>
      <c r="G1" s="12" t="s">
        <v>340</v>
      </c>
    </row>
    <row r="2" customFormat="false" ht="25.35" hidden="false" customHeight="false" outlineLevel="0" collapsed="false">
      <c r="A2" s="13" t="s">
        <v>341</v>
      </c>
      <c r="B2" s="13" t="s">
        <v>342</v>
      </c>
      <c r="C2" s="13" t="s">
        <v>343</v>
      </c>
      <c r="D2" s="13" t="s">
        <v>344</v>
      </c>
      <c r="E2" s="13" t="s">
        <v>345</v>
      </c>
      <c r="F2" s="14" t="s">
        <v>35</v>
      </c>
      <c r="G2" s="13" t="s">
        <v>346</v>
      </c>
    </row>
    <row r="3" customFormat="false" ht="25.35" hidden="false" customHeight="false" outlineLevel="0" collapsed="false">
      <c r="A3" s="13" t="s">
        <v>341</v>
      </c>
      <c r="B3" s="13" t="s">
        <v>347</v>
      </c>
      <c r="C3" s="13" t="s">
        <v>348</v>
      </c>
      <c r="D3" s="13" t="s">
        <v>349</v>
      </c>
      <c r="E3" s="13" t="s">
        <v>350</v>
      </c>
      <c r="F3" s="16" t="s">
        <v>70</v>
      </c>
      <c r="G3" s="13" t="s">
        <v>351</v>
      </c>
    </row>
    <row r="4" customFormat="false" ht="25.35" hidden="false" customHeight="false" outlineLevel="0" collapsed="false">
      <c r="A4" s="13" t="s">
        <v>341</v>
      </c>
      <c r="B4" s="13" t="s">
        <v>352</v>
      </c>
      <c r="C4" s="13" t="s">
        <v>353</v>
      </c>
      <c r="D4" s="13" t="s">
        <v>354</v>
      </c>
      <c r="E4" s="13" t="s">
        <v>355</v>
      </c>
      <c r="F4" s="14" t="s">
        <v>35</v>
      </c>
      <c r="G4" s="13" t="s">
        <v>356</v>
      </c>
    </row>
    <row r="5" customFormat="false" ht="25.35" hidden="false" customHeight="false" outlineLevel="0" collapsed="false">
      <c r="A5" s="13" t="s">
        <v>341</v>
      </c>
      <c r="B5" s="13" t="s">
        <v>357</v>
      </c>
      <c r="C5" s="13" t="s">
        <v>358</v>
      </c>
      <c r="D5" s="13" t="s">
        <v>359</v>
      </c>
      <c r="E5" s="13" t="s">
        <v>360</v>
      </c>
      <c r="F5" s="14" t="s">
        <v>35</v>
      </c>
      <c r="G5" s="13" t="s">
        <v>351</v>
      </c>
    </row>
    <row r="6" customFormat="false" ht="25.35" hidden="false" customHeight="false" outlineLevel="0" collapsed="false">
      <c r="A6" s="13" t="s">
        <v>341</v>
      </c>
      <c r="B6" s="13" t="s">
        <v>361</v>
      </c>
      <c r="C6" s="13" t="s">
        <v>362</v>
      </c>
      <c r="D6" s="13" t="s">
        <v>363</v>
      </c>
      <c r="E6" s="13" t="s">
        <v>364</v>
      </c>
      <c r="F6" s="14" t="s">
        <v>35</v>
      </c>
      <c r="G6" s="13" t="s">
        <v>356</v>
      </c>
    </row>
    <row r="7" customFormat="false" ht="25.35" hidden="false" customHeight="false" outlineLevel="0" collapsed="false">
      <c r="A7" s="13" t="s">
        <v>365</v>
      </c>
      <c r="B7" s="13" t="s">
        <v>366</v>
      </c>
      <c r="C7" s="13" t="s">
        <v>367</v>
      </c>
      <c r="D7" s="13" t="s">
        <v>368</v>
      </c>
      <c r="E7" s="13" t="s">
        <v>369</v>
      </c>
      <c r="F7" s="18" t="s">
        <v>184</v>
      </c>
      <c r="G7" s="13" t="s">
        <v>370</v>
      </c>
    </row>
    <row r="8" customFormat="false" ht="15" hidden="false" customHeight="false" outlineLevel="0" collapsed="false">
      <c r="A8" s="13" t="s">
        <v>365</v>
      </c>
      <c r="B8" s="13" t="s">
        <v>371</v>
      </c>
      <c r="C8" s="13" t="s">
        <v>372</v>
      </c>
      <c r="D8" s="13" t="s">
        <v>373</v>
      </c>
      <c r="E8" s="13" t="s">
        <v>374</v>
      </c>
      <c r="F8" s="18" t="s">
        <v>184</v>
      </c>
      <c r="G8" s="13" t="s">
        <v>375</v>
      </c>
    </row>
    <row r="9" customFormat="false" ht="25.35" hidden="false" customHeight="false" outlineLevel="0" collapsed="false">
      <c r="A9" s="13" t="s">
        <v>376</v>
      </c>
      <c r="B9" s="13" t="s">
        <v>377</v>
      </c>
      <c r="C9" s="13" t="s">
        <v>378</v>
      </c>
      <c r="D9" s="13" t="s">
        <v>379</v>
      </c>
      <c r="E9" s="13" t="s">
        <v>380</v>
      </c>
      <c r="F9" s="16" t="s">
        <v>70</v>
      </c>
      <c r="G9" s="13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2026-04-14T00:22:51Z</dcterms:created>
  <dc:creator>openpyxl</dc:creator>
  <dc:description/>
  <dc:language>en-US</dc:language>
  <cp:lastModifiedBy/>
  <dcterms:modified xsi:type="dcterms:W3CDTF">2026-04-14T00:22:51Z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